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Taux de change" sheetId="2" state="visible" r:id="rId2"/>
    <sheet name="Vols" sheetId="3" state="visible" r:id="rId3"/>
    <sheet name="J01 - Lima" sheetId="4" state="visible" r:id="rId4"/>
    <sheet name="J02 - La Paz J1" sheetId="5" state="visible" r:id="rId5"/>
    <sheet name="J03 - La Paz J2" sheetId="6" state="visible" r:id="rId6"/>
    <sheet name="J04 - Asunción J1" sheetId="7" state="visible" r:id="rId7"/>
    <sheet name="J05 - Asunción J2" sheetId="8" state="visible" r:id="rId8"/>
    <sheet name="J06 - Rio J1" sheetId="9" state="visible" r:id="rId9"/>
    <sheet name="J07 - Rio J2" sheetId="10" state="visible" r:id="rId10"/>
    <sheet name="J08 - Rio J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;;&quot;—&quot;"/>
    <numFmt numFmtId="166" formatCode="$#,##0.00;;&quot;—&quot;"/>
    <numFmt numFmtId="167" formatCode="#,##0;;&quot;—&quot;"/>
  </numFmts>
  <fonts count="8">
    <font>
      <name val="Calibri"/>
      <family val="2"/>
      <color theme="1"/>
      <sz val="11"/>
      <scheme val="minor"/>
    </font>
    <font>
      <name val="Arial"/>
      <b val="1"/>
      <color rgb="000F5C4A"/>
      <sz val="14"/>
    </font>
    <font>
      <name val="Arial"/>
      <color rgb="003D5163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5A6B7C"/>
      <sz val="9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0F5C4A"/>
      </patternFill>
    </fill>
    <fill>
      <patternFill patternType="solid">
        <fgColor rgb="00F7F9FB"/>
      </patternFill>
    </fill>
    <fill>
      <patternFill patternType="solid">
        <fgColor rgb="00EEF4F1"/>
      </patternFill>
    </fill>
  </fills>
  <borders count="2">
    <border>
      <left/>
      <right/>
      <top/>
      <bottom/>
      <diagonal/>
    </border>
    <border>
      <bottom style="thin">
        <color rgb="00D6E0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164" fontId="7" fillId="0" borderId="1" pivotButton="0" quotePrefix="0" xfId="0"/>
    <xf numFmtId="0" fontId="5" fillId="0" borderId="1" applyAlignment="1" pivotButton="0" quotePrefix="0" xfId="0">
      <alignment vertical="top" wrapText="1"/>
    </xf>
    <xf numFmtId="4" fontId="7" fillId="0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right" vertical="center" wrapText="1"/>
    </xf>
    <xf numFmtId="0" fontId="4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167" fontId="4" fillId="0" borderId="1" pivotButton="0" quotePrefix="0" xfId="0"/>
    <xf numFmtId="167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</cols>
  <sheetData>
    <row r="1">
      <c r="A1" s="1" t="inlineStr">
        <is>
          <t>Planning Lima → La Paz → Asunción → Rio (8 jours, vols)</t>
        </is>
      </c>
    </row>
    <row r="2">
      <c r="A2" s="2" t="inlineStr">
        <is>
          <t>Résumé budgétaire et hébergement</t>
        </is>
      </c>
    </row>
    <row r="4" ht="26" customHeight="1">
      <c r="A4" s="3" t="inlineStr">
        <is>
          <t>Catégorie</t>
        </is>
      </c>
      <c r="B4" s="3" t="inlineStr">
        <is>
          <t>Estimation basse</t>
        </is>
      </c>
      <c r="C4" s="3" t="inlineStr">
        <is>
          <t>Estimation haute</t>
        </is>
      </c>
      <c r="D4" s="3" t="inlineStr">
        <is>
          <t>Devise</t>
        </is>
      </c>
    </row>
    <row r="5">
      <c r="A5" s="4" t="inlineStr">
        <is>
          <t>Hébergement (8 nuits dortoir)</t>
        </is>
      </c>
      <c r="B5" s="4" t="n">
        <v>280</v>
      </c>
      <c r="C5" s="4" t="n">
        <v>440</v>
      </c>
      <c r="D5" s="5" t="inlineStr">
        <is>
          <t>USD</t>
        </is>
      </c>
    </row>
    <row r="6">
      <c r="A6" s="4" t="inlineStr">
        <is>
          <t>Repas (3×jour)</t>
        </is>
      </c>
      <c r="B6" s="4" t="n">
        <v>300</v>
      </c>
      <c r="C6" s="4" t="n">
        <v>480</v>
      </c>
      <c r="D6" s="5" t="inlineStr">
        <is>
          <t>USD</t>
        </is>
      </c>
    </row>
    <row r="7">
      <c r="A7" s="4" t="inlineStr">
        <is>
          <t>Transports locaux</t>
        </is>
      </c>
      <c r="B7" s="4" t="n">
        <v>80</v>
      </c>
      <c r="C7" s="4" t="n">
        <v>140</v>
      </c>
      <c r="D7" s="5" t="inlineStr">
        <is>
          <t>USD</t>
        </is>
      </c>
    </row>
    <row r="8">
      <c r="A8" s="4" t="inlineStr">
        <is>
          <t>Activités et visites</t>
        </is>
      </c>
      <c r="B8" s="4" t="n">
        <v>200</v>
      </c>
      <c r="C8" s="4" t="n">
        <v>320</v>
      </c>
      <c r="D8" s="5" t="inlineStr">
        <is>
          <t>USD</t>
        </is>
      </c>
    </row>
    <row r="9">
      <c r="A9" s="4" t="inlineStr">
        <is>
          <t>Vols (3 directs)</t>
        </is>
      </c>
      <c r="B9" s="4" t="n">
        <v>450</v>
      </c>
      <c r="C9" s="4" t="n">
        <v>700</v>
      </c>
      <c r="D9" s="5" t="inlineStr">
        <is>
          <t>USD</t>
        </is>
      </c>
    </row>
    <row r="10">
      <c r="A10" s="6" t="inlineStr">
        <is>
          <t>TOTAL ON-SITE</t>
        </is>
      </c>
      <c r="B10" s="4" t="n">
        <v>1310</v>
      </c>
      <c r="C10" s="4" t="n">
        <v>2080</v>
      </c>
      <c r="D10" s="5" t="inlineStr">
        <is>
          <t>USD</t>
        </is>
      </c>
    </row>
    <row r="11">
      <c r="A11" s="4" t="inlineStr"/>
      <c r="B11" s="7" t="n"/>
      <c r="C11" s="7" t="n"/>
      <c r="D11" s="5" t="inlineStr"/>
    </row>
    <row r="12">
      <c r="A12" s="4" t="inlineStr">
        <is>
          <t>À ajouter:</t>
        </is>
      </c>
      <c r="B12" s="7" t="n"/>
      <c r="C12" s="7" t="n"/>
      <c r="D12" s="5" t="inlineStr"/>
    </row>
    <row r="13">
      <c r="A13" s="4" t="inlineStr">
        <is>
          <t>Assurance voyage</t>
        </is>
      </c>
      <c r="B13" s="4" t="n">
        <v>60</v>
      </c>
      <c r="C13" s="4" t="n">
        <v>100</v>
      </c>
      <c r="D13" s="5" t="inlineStr">
        <is>
          <t>USD</t>
        </is>
      </c>
    </row>
    <row r="14">
      <c r="A14" s="4" t="inlineStr">
        <is>
          <t>Vaccin fièvre jaune</t>
        </is>
      </c>
      <c r="B14" s="4" t="n">
        <v>60</v>
      </c>
      <c r="C14" s="4" t="n">
        <v>80</v>
      </c>
      <c r="D14" s="5" t="inlineStr">
        <is>
          <t>USD</t>
        </is>
      </c>
    </row>
    <row r="15">
      <c r="A15" s="4" t="inlineStr">
        <is>
          <t>Frais bancaires</t>
        </is>
      </c>
      <c r="B15" s="4" t="n">
        <v>30</v>
      </c>
      <c r="C15" s="4" t="n">
        <v>50</v>
      </c>
      <c r="D15" s="5" t="inlineStr">
        <is>
          <t>USD</t>
        </is>
      </c>
    </row>
    <row r="16">
      <c r="A16" s="4" t="inlineStr">
        <is>
          <t>Réserve urgence</t>
        </is>
      </c>
      <c r="B16" s="4" t="n">
        <v>150</v>
      </c>
      <c r="C16" s="4" t="n">
        <v>250</v>
      </c>
      <c r="D16" s="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78" customWidth="1" min="4" max="4"/>
  </cols>
  <sheetData>
    <row r="1">
      <c r="A1" s="1" t="inlineStr">
        <is>
          <t>Taux de change — cellules d'entrée</t>
        </is>
      </c>
    </row>
    <row r="2">
      <c r="A2" s="2" t="inlineStr">
        <is>
          <t>Relevés le 11/09/2026. Modifiez la colonne B : tout le classeur se recalcule.</t>
        </is>
      </c>
    </row>
    <row r="4" ht="26" customHeight="1">
      <c r="A4" s="3" t="inlineStr">
        <is>
          <t>Devise</t>
        </is>
      </c>
      <c r="B4" s="3" t="inlineStr">
        <is>
          <t>Unités pour 1 USD</t>
        </is>
      </c>
      <c r="C4" s="3" t="inlineStr">
        <is>
          <t>Pays</t>
        </is>
      </c>
      <c r="D4" s="3" t="inlineStr">
        <is>
          <t>Remarque</t>
        </is>
      </c>
    </row>
    <row r="5">
      <c r="A5" s="6" t="inlineStr">
        <is>
          <t>PEN</t>
        </is>
      </c>
      <c r="B5" s="8" t="n">
        <v>3.363</v>
      </c>
      <c r="C5" s="4" t="inlineStr">
        <is>
          <t>Pérou (sol, S/)</t>
        </is>
      </c>
      <c r="D5" s="9" t="inlineStr">
        <is>
          <t>Taux de marché. Retrait au DAB : frais locaux S/ 18–25 en plus.</t>
        </is>
      </c>
    </row>
    <row r="6">
      <c r="A6" s="6" t="inlineStr">
        <is>
          <t>BOB</t>
        </is>
      </c>
      <c r="B6" s="8" t="n">
        <v>12.04</v>
      </c>
      <c r="C6" s="4" t="inlineStr">
        <is>
          <t>Bolivie (boliviano, Bs)</t>
        </is>
      </c>
      <c r="D6" s="9" t="inlineStr">
        <is>
          <t>Taux officiel BCB. Marché parallèle ≈ Bs 11,75 : écart resserré depuis dévaluation déc. 2025.</t>
        </is>
      </c>
    </row>
    <row r="7">
      <c r="A7" s="6" t="inlineStr">
        <is>
          <t>PYG</t>
        </is>
      </c>
      <c r="B7" s="10" t="n">
        <v>5921.57</v>
      </c>
      <c r="C7" s="4" t="inlineStr">
        <is>
          <t>Paraguay (guaraní, Gs)</t>
        </is>
      </c>
      <c r="D7" s="9" t="inlineStr">
        <is>
          <t>Monnaie inéchangeable hors Paraguay : ne rien garder en sortant.</t>
        </is>
      </c>
    </row>
    <row r="8">
      <c r="A8" s="6" t="inlineStr">
        <is>
          <t>BRL</t>
        </is>
      </c>
      <c r="B8" s="8" t="n">
        <v>5.115</v>
      </c>
      <c r="C8" s="4" t="inlineStr">
        <is>
          <t>Brésil (real, R$)</t>
        </is>
      </c>
      <c r="D8" s="9" t="inlineStr">
        <is>
          <t>Carte Revolut/Wise donne meilleur taux que casas de cambio.</t>
        </is>
      </c>
    </row>
    <row r="11">
      <c r="A11" s="11" t="inlineStr">
        <is>
          <t>Légende : bleu = valeur saisie à la main (modifiable). Tout le reste = calculé par formule.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2" customWidth="1" min="4" max="4"/>
    <col width="24" customWidth="1" min="5" max="5"/>
    <col width="18" customWidth="1" min="6" max="6"/>
    <col width="13" customWidth="1" min="7" max="7"/>
    <col width="60" customWidth="1" min="8" max="8"/>
  </cols>
  <sheetData>
    <row r="1">
      <c r="A1" s="1" t="inlineStr">
        <is>
          <t>Vols — tarifs et compagnies</t>
        </is>
      </c>
    </row>
    <row r="2">
      <c r="A2" s="2" t="inlineStr">
        <is>
          <t>3 vols directs, réserver 5–14 jours à l'avance</t>
        </is>
      </c>
    </row>
    <row r="4" ht="26" customHeight="1">
      <c r="A4" s="3" t="inlineStr">
        <is>
          <t>Vol #</t>
        </is>
      </c>
      <c r="B4" s="3" t="inlineStr">
        <is>
          <t>Route</t>
        </is>
      </c>
      <c r="C4" s="3" t="inlineStr">
        <is>
          <t>Distance</t>
        </is>
      </c>
      <c r="D4" s="3" t="inlineStr">
        <is>
          <t>Durée</t>
        </is>
      </c>
      <c r="E4" s="3" t="inlineStr">
        <is>
          <t>Compagnies</t>
        </is>
      </c>
      <c r="F4" s="3" t="inlineStr">
        <is>
          <t>Tarif local</t>
        </is>
      </c>
      <c r="G4" s="3" t="inlineStr">
        <is>
          <t>USD</t>
        </is>
      </c>
      <c r="H4" s="3" t="inlineStr">
        <is>
          <t>Notes</t>
        </is>
      </c>
    </row>
    <row r="5" ht="32" customHeight="1">
      <c r="A5" s="6" t="n">
        <v>1</v>
      </c>
      <c r="B5" s="4" t="inlineStr">
        <is>
          <t>Lima → La Paz</t>
        </is>
      </c>
      <c r="C5" s="4" t="inlineStr">
        <is>
          <t>1 300 km</t>
        </is>
      </c>
      <c r="D5" s="4" t="inlineStr">
        <is>
          <t>1 h 15</t>
        </is>
      </c>
      <c r="E5" s="4" t="inlineStr">
        <is>
          <t>Latam, JETSMART, Viva Air</t>
        </is>
      </c>
      <c r="F5" s="4" t="inlineStr">
        <is>
          <t>S/ 180–350</t>
        </is>
      </c>
      <c r="G5" s="4" t="inlineStr">
        <is>
          <t>$54–$104</t>
        </is>
      </c>
      <c r="H5" s="9" t="inlineStr">
        <is>
          <t>Vol direct. Réserver 5–14 jours à l'avance sur skyscanner.com.pe ou latam.com. Petit-déjeuner inclus selon classe.</t>
        </is>
      </c>
    </row>
    <row r="6" ht="32" customHeight="1">
      <c r="A6" s="6" t="n">
        <v>2</v>
      </c>
      <c r="B6" s="4" t="inlineStr">
        <is>
          <t>La Paz → Asunción</t>
        </is>
      </c>
      <c r="C6" s="4" t="inlineStr">
        <is>
          <t>1 600 km</t>
        </is>
      </c>
      <c r="D6" s="4" t="inlineStr">
        <is>
          <t>2 h 15</t>
        </is>
      </c>
      <c r="E6" s="4" t="inlineStr">
        <is>
          <t>Latam, Viva Air</t>
        </is>
      </c>
      <c r="F6" s="4" t="inlineStr">
        <is>
          <t>Bs 200–400</t>
        </is>
      </c>
      <c r="G6" s="4" t="inlineStr">
        <is>
          <t>$17–$33</t>
        </is>
      </c>
      <c r="H6" s="9" t="inlineStr">
        <is>
          <t>Vol direct. Boisson incluse. Réserver 5–14 jours. Décalage horaire −1 h (Bolivie → Paraguay).</t>
        </is>
      </c>
    </row>
    <row r="7" ht="32" customHeight="1">
      <c r="A7" s="6" t="n">
        <v>3</v>
      </c>
      <c r="B7" s="4" t="inlineStr">
        <is>
          <t>Asunción → Rio</t>
        </is>
      </c>
      <c r="C7" s="4" t="inlineStr">
        <is>
          <t>1 500 km</t>
        </is>
      </c>
      <c r="D7" s="4" t="inlineStr">
        <is>
          <t>2 h 45</t>
        </is>
      </c>
      <c r="E7" s="4" t="inlineStr">
        <is>
          <t>Latam, Azul, Gol</t>
        </is>
      </c>
      <c r="F7" s="4" t="inlineStr">
        <is>
          <t>Gs 300 000–550 000</t>
        </is>
      </c>
      <c r="G7" s="4" t="inlineStr">
        <is>
          <t>$51–$93</t>
        </is>
      </c>
      <c r="H7" s="9" t="inlineStr">
        <is>
          <t>Vol direct. Boisson + snack inclus. Réserver 5–14 jours. Décalage +1 h (Paraguay → Brésil).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1 — LIMA (Pérou)</t>
        </is>
      </c>
    </row>
    <row r="2">
      <c r="A2" s="2" t="inlineStr">
        <is>
          <t>Lima — centre historique puis départ pour La Paz</t>
        </is>
      </c>
    </row>
    <row r="3">
      <c r="A3" s="11" t="inlineStr">
        <is>
          <t>Altitude : 154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07h30–08h15</t>
        </is>
      </c>
      <c r="B6" s="13" t="inlineStr">
        <is>
          <t>Petit-déjeuner : café + pan con chicharrón / jugo surtido (Miraflores)</t>
        </is>
      </c>
      <c r="C6" s="5" t="inlineStr"/>
      <c r="D6" s="13" t="inlineStr">
        <is>
          <t>PEN</t>
        </is>
      </c>
      <c r="E6" s="14" t="n">
        <v>8</v>
      </c>
      <c r="F6" s="15" t="n">
        <v>15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08h30–09h00</t>
        </is>
      </c>
      <c r="B7" s="13" t="inlineStr">
        <is>
          <t>Metropolitano Miraflores → Centre (station Jr. de la Unión) + achat de la carte rechargeable</t>
        </is>
      </c>
      <c r="C7" s="5" t="inlineStr">
        <is>
          <t>Carte S/ 5,40 à l'achat + S/ 3,80 le trajet. Pas de CB aux guichets.</t>
        </is>
      </c>
      <c r="D7" s="13" t="inlineStr">
        <is>
          <t>PEN</t>
        </is>
      </c>
      <c r="E7" s="14" t="n">
        <v>6</v>
      </c>
      <c r="F7" s="15" t="n">
        <v>10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</t>
        </is>
      </c>
    </row>
    <row r="8">
      <c r="A8" s="6" t="inlineStr">
        <is>
          <t>09h00–10h00</t>
        </is>
      </c>
      <c r="B8" s="13" t="inlineStr">
        <is>
          <t>Plaza Mayor + Cathédrale de Lima (nef, crypte, musée d'art religieux)</t>
        </is>
      </c>
      <c r="C8" s="5" t="inlineStr"/>
      <c r="D8" s="13" t="inlineStr">
        <is>
          <t>PEN</t>
        </is>
      </c>
      <c r="E8" s="14" t="n">
        <v>30</v>
      </c>
      <c r="F8" s="15" t="n">
        <v>30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CB / esp.</t>
        </is>
      </c>
    </row>
    <row r="9">
      <c r="A9" s="6" t="inlineStr">
        <is>
          <t>10h00–11h30</t>
        </is>
      </c>
      <c r="B9" s="13" t="inlineStr">
        <is>
          <t>Couvent San Francisco + catacombes (visite guidée obligatoire, 45 min)</t>
        </is>
      </c>
      <c r="C9" s="5" t="inlineStr"/>
      <c r="D9" s="13" t="inlineStr">
        <is>
          <t>PEN</t>
        </is>
      </c>
      <c r="E9" s="14" t="n">
        <v>20</v>
      </c>
      <c r="F9" s="15" t="n">
        <v>25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CB / esp.</t>
        </is>
      </c>
    </row>
    <row r="10">
      <c r="A10" s="6" t="inlineStr">
        <is>
          <t>11h30–12h30</t>
        </is>
      </c>
      <c r="B10" s="13" t="inlineStr">
        <is>
          <t>Jr. de la Unión, Plaza San Martín, Casa de Aliaga (extérieur), Mercado Central</t>
        </is>
      </c>
      <c r="C10" s="5" t="inlineStr"/>
      <c r="D10" s="18" t="n"/>
      <c r="E10" s="7" t="n"/>
      <c r="F10" s="18" t="n"/>
      <c r="G10" s="7" t="n"/>
      <c r="H10" s="18" t="n"/>
      <c r="I10" s="4" t="inlineStr">
        <is>
          <t>—</t>
        </is>
      </c>
    </row>
    <row r="11">
      <c r="A11" s="6" t="inlineStr">
        <is>
          <t>12h30–13h30</t>
        </is>
      </c>
      <c r="B11" s="13" t="inlineStr">
        <is>
          <t>Almuerzo « menú del día » : entrée + plat + boisson (hors zone touristique)</t>
        </is>
      </c>
      <c r="C11" s="5" t="inlineStr"/>
      <c r="D11" s="13" t="inlineStr">
        <is>
          <t>PEN</t>
        </is>
      </c>
      <c r="E11" s="14" t="n">
        <v>15</v>
      </c>
      <c r="F11" s="15" t="n">
        <v>25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</t>
        </is>
      </c>
    </row>
    <row r="12">
      <c r="A12" s="6" t="inlineStr">
        <is>
          <t>13h30–14h30</t>
        </is>
      </c>
      <c r="B12" s="13" t="inlineStr">
        <is>
          <t>Uber / Cabify Centre → Aéroport Jorge Chávez (45 km)</t>
        </is>
      </c>
      <c r="C12" s="5" t="inlineStr">
        <is>
          <t>Ne pas héler un taxi dans la rue à Lima. Uber, Cabify ou InDriver uniquement.</t>
        </is>
      </c>
      <c r="D12" s="13" t="inlineStr">
        <is>
          <t>PEN</t>
        </is>
      </c>
      <c r="E12" s="14" t="n">
        <v>45</v>
      </c>
      <c r="F12" s="15" t="n">
        <v>70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CB (in-app)</t>
        </is>
      </c>
    </row>
    <row r="13">
      <c r="A13" s="6" t="inlineStr">
        <is>
          <t>14h30–15h30</t>
        </is>
      </c>
      <c r="B13" s="13" t="inlineStr">
        <is>
          <t>Enregistrement des bagages + tasa de embarque + passage à la sécurité</t>
        </is>
      </c>
      <c r="C13" s="5" t="inlineStr"/>
      <c r="D13" s="13" t="inlineStr">
        <is>
          <t>PEN</t>
        </is>
      </c>
      <c r="E13" s="14" t="n">
        <v>5</v>
      </c>
      <c r="F13" s="15" t="n">
        <v>5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Espèces</t>
        </is>
      </c>
    </row>
    <row r="14">
      <c r="A14" s="6" t="inlineStr">
        <is>
          <t>15h30–16h00</t>
        </is>
      </c>
      <c r="B14" s="13" t="inlineStr">
        <is>
          <t>Repas / boissons / derniers achats en zone d'embarquement</t>
        </is>
      </c>
      <c r="C14" s="5" t="inlineStr"/>
      <c r="D14" s="13" t="inlineStr">
        <is>
          <t>PEN</t>
        </is>
      </c>
      <c r="E14" s="14" t="n">
        <v>25</v>
      </c>
      <c r="F14" s="15" t="n">
        <v>45</v>
      </c>
      <c r="G14" s="16">
        <f>IF(D14="","",E14/INDEX('Taux de change'!$B$5:$B$8,MATCH(D14,'Taux de change'!$A$5:$A$8,0)))</f>
        <v/>
      </c>
      <c r="H14" s="17">
        <f>IF(D14="","",F14/INDEX('Taux de change'!$B$5:$B$8,MATCH(D14,'Taux de change'!$A$5:$A$8,0)))</f>
        <v/>
      </c>
      <c r="I14" s="4" t="inlineStr">
        <is>
          <t>CB / esp.</t>
        </is>
      </c>
    </row>
    <row r="15">
      <c r="A15" s="6" t="inlineStr">
        <is>
          <t>16h00</t>
        </is>
      </c>
      <c r="B15" s="13" t="inlineStr">
        <is>
          <t>VOL LIMA → LA PAZ — Latam, JETSMART, Viva Air · vol direct · 1 h 15 min · petit déjeuner inclus</t>
        </is>
      </c>
      <c r="C15" s="5" t="inlineStr">
        <is>
          <t>Réserver sur skyscanner.com.pe, kayak.com.pe ou directement sur latam.com. Départ 16h00 en général, arrivée 17h45 (−1 h Bolivie).</t>
        </is>
      </c>
      <c r="D15" s="13" t="inlineStr">
        <is>
          <t>PEN</t>
        </is>
      </c>
      <c r="E15" s="14" t="n">
        <v>180</v>
      </c>
      <c r="F15" s="15" t="n">
        <v>350</v>
      </c>
      <c r="G15" s="16">
        <f>IF(D15="","",E15/INDEX('Taux de change'!$B$5:$B$8,MATCH(D15,'Taux de change'!$A$5:$A$8,0)))</f>
        <v/>
      </c>
      <c r="H15" s="17">
        <f>IF(D15="","",F15/INDEX('Taux de change'!$B$5:$B$8,MATCH(D15,'Taux de change'!$A$5:$A$8,0)))</f>
        <v/>
      </c>
      <c r="I15" s="4" t="inlineStr">
        <is>
          <t>CB en ligne</t>
        </is>
      </c>
    </row>
    <row r="16">
      <c r="A16" s="6" t="inlineStr">
        <is>
          <t>17h45–18h15</t>
        </is>
      </c>
      <c r="B16" s="13" t="inlineStr">
        <is>
          <t>Arrivée aéroport El Alto + récupération bagages</t>
        </is>
      </c>
      <c r="C16" s="5" t="inlineStr"/>
      <c r="D16" s="18" t="n"/>
      <c r="E16" s="7" t="n"/>
      <c r="F16" s="18" t="n"/>
      <c r="G16" s="7" t="n"/>
      <c r="H16" s="18" t="n"/>
      <c r="I16" s="4" t="inlineStr">
        <is>
          <t>—</t>
        </is>
      </c>
    </row>
    <row r="17">
      <c r="A17" s="6" t="inlineStr">
        <is>
          <t>18h15–19h30</t>
        </is>
      </c>
      <c r="B17" s="13" t="inlineStr">
        <is>
          <t>Navette / taxi vers centre La Paz (El Alto à 4 100 m, route sinueuse, 30 min)</t>
        </is>
      </c>
      <c r="C17" s="5" t="inlineStr">
        <is>
          <t>Minibus partagé (puerta a puerta) Bs 15–25. Taxi seul Bs 40–60.</t>
        </is>
      </c>
      <c r="D17" s="13" t="inlineStr">
        <is>
          <t>BOB</t>
        </is>
      </c>
      <c r="E17" s="14" t="n">
        <v>15</v>
      </c>
      <c r="F17" s="15" t="n">
        <v>40</v>
      </c>
      <c r="G17" s="16">
        <f>IF(D17="","",E17/INDEX('Taux de change'!$B$5:$B$8,MATCH(D17,'Taux de change'!$A$5:$A$8,0)))</f>
        <v/>
      </c>
      <c r="H17" s="17">
        <f>IF(D17="","",F17/INDEX('Taux de change'!$B$5:$B$8,MATCH(D17,'Taux de change'!$A$5:$A$8,0)))</f>
        <v/>
      </c>
      <c r="I17" s="4" t="inlineStr">
        <is>
          <t>Espèces / CB</t>
        </is>
      </c>
    </row>
    <row r="18">
      <c r="A18" s="6" t="inlineStr">
        <is>
          <t>19h30–20h00</t>
        </is>
      </c>
      <c r="B18" s="13" t="inlineStr">
        <is>
          <t>Check-in hostel La Paz — lit en dortoir (privée : Bs 180–280)</t>
        </is>
      </c>
      <c r="C18" s="5" t="inlineStr"/>
      <c r="D18" s="13" t="inlineStr">
        <is>
          <t>BOB</t>
        </is>
      </c>
      <c r="E18" s="14" t="n">
        <v>70</v>
      </c>
      <c r="F18" s="15" t="n">
        <v>125</v>
      </c>
      <c r="G18" s="16">
        <f>IF(D18="","",E18/INDEX('Taux de change'!$B$5:$B$8,MATCH(D18,'Taux de change'!$A$5:$A$8,0)))</f>
        <v/>
      </c>
      <c r="H18" s="17">
        <f>IF(D18="","",F18/INDEX('Taux de change'!$B$5:$B$8,MATCH(D18,'Taux de change'!$A$5:$A$8,0)))</f>
        <v/>
      </c>
      <c r="I18" s="4" t="inlineStr">
        <is>
          <t>CB / esp.</t>
        </is>
      </c>
    </row>
    <row r="19">
      <c r="A19" s="6" t="inlineStr">
        <is>
          <t>20h00–21h00</t>
        </is>
      </c>
      <c r="B19" s="13" t="inlineStr">
        <is>
          <t>Dîner léger : sopa de quinua</t>
        </is>
      </c>
      <c r="C19" s="5" t="inlineStr"/>
      <c r="D19" s="13" t="inlineStr">
        <is>
          <t>BOB</t>
        </is>
      </c>
      <c r="E19" s="14" t="n">
        <v>25</v>
      </c>
      <c r="F19" s="15" t="n">
        <v>40</v>
      </c>
      <c r="G19" s="16">
        <f>IF(D19="","",E19/INDEX('Taux de change'!$B$5:$B$8,MATCH(D19,'Taux de change'!$A$5:$A$8,0)))</f>
        <v/>
      </c>
      <c r="H19" s="17">
        <f>IF(D19="","",F19/INDEX('Taux de change'!$B$5:$B$8,MATCH(D19,'Taux de change'!$A$5:$A$8,0)))</f>
        <v/>
      </c>
      <c r="I19" s="4" t="inlineStr">
        <is>
          <t>Espèces</t>
        </is>
      </c>
    </row>
    <row r="20">
      <c r="A20" s="19" t="n"/>
      <c r="B20" s="20" t="inlineStr">
        <is>
          <t>TOTAL JOUR</t>
        </is>
      </c>
      <c r="C20" s="19" t="n"/>
      <c r="D20" s="19" t="n"/>
      <c r="E20" s="19" t="n"/>
      <c r="F20" s="19" t="n"/>
      <c r="G20" s="21">
        <f>SUM(G6:G19)</f>
        <v/>
      </c>
      <c r="H20" s="21">
        <f>SUM(H6:H19)</f>
        <v/>
      </c>
      <c r="I20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2 — LA PAZ (Bolivie) — jour 1</t>
        </is>
      </c>
    </row>
    <row r="2">
      <c r="A2" s="2" t="inlineStr">
        <is>
          <t>Acclimatation et exploration — téléphériques, marchés</t>
        </is>
      </c>
    </row>
    <row r="3">
      <c r="A3" s="11" t="inlineStr">
        <is>
          <t>Altitude : 3 640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08h00–08h45</t>
        </is>
      </c>
      <c r="B6" s="13" t="inlineStr">
        <is>
          <t>Petit-déjeuner : api con pastel au Mercado Rodríguez</t>
        </is>
      </c>
      <c r="C6" s="5" t="inlineStr"/>
      <c r="D6" s="13" t="inlineStr">
        <is>
          <t>BOB</t>
        </is>
      </c>
      <c r="E6" s="14" t="n">
        <v>10</v>
      </c>
      <c r="F6" s="15" t="n">
        <v>18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09h00–12h00</t>
        </is>
      </c>
      <c r="B7" s="13" t="inlineStr">
        <is>
          <t>Free walking tour (Red Cap Walking Tours, départ 11h00 Plaza San Pedro) — pourboire attendu</t>
        </is>
      </c>
      <c r="C7" s="5" t="inlineStr"/>
      <c r="D7" s="13" t="inlineStr">
        <is>
          <t>BOB</t>
        </is>
      </c>
      <c r="E7" s="14" t="n">
        <v>50</v>
      </c>
      <c r="F7" s="15" t="n">
        <v>80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</t>
        </is>
      </c>
    </row>
    <row r="8">
      <c r="A8" s="6" t="inlineStr">
        <is>
          <t>12h00–12h15</t>
        </is>
      </c>
      <c r="B8" s="13" t="inlineStr">
        <is>
          <t>Mi Teleférico — ligne Rouge : Estación Central → El Alto (16 de Julio), 4 000 m</t>
        </is>
      </c>
      <c r="C8" s="5" t="inlineStr"/>
      <c r="D8" s="13" t="inlineStr">
        <is>
          <t>BOB</t>
        </is>
      </c>
      <c r="E8" s="14" t="n">
        <v>3</v>
      </c>
      <c r="F8" s="15" t="n">
        <v>3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Espèces / QR</t>
        </is>
      </c>
    </row>
    <row r="9">
      <c r="A9" s="6" t="inlineStr">
        <is>
          <t>12h15–13h30</t>
        </is>
      </c>
      <c r="B9" s="13" t="inlineStr">
        <is>
          <t>Mirador d'El Alto sur toute la cuvette + Feria 16 de Julio (jeudi et dimanche, l'un des plus grands marchés)</t>
        </is>
      </c>
      <c r="C9" s="5" t="inlineStr"/>
      <c r="D9" s="18" t="n"/>
      <c r="E9" s="7" t="n"/>
      <c r="F9" s="18" t="n"/>
      <c r="G9" s="7" t="n"/>
      <c r="H9" s="18" t="n"/>
      <c r="I9" s="4" t="inlineStr">
        <is>
          <t>—</t>
        </is>
      </c>
    </row>
    <row r="10">
      <c r="A10" s="6" t="inlineStr">
        <is>
          <t>13h30–14h30</t>
        </is>
      </c>
      <c r="B10" s="13" t="inlineStr">
        <is>
          <t>Almuerzo : trucha frita + mate de coca</t>
        </is>
      </c>
      <c r="C10" s="5" t="inlineStr"/>
      <c r="D10" s="13" t="inlineStr">
        <is>
          <t>BOB</t>
        </is>
      </c>
      <c r="E10" s="14" t="n">
        <v>25</v>
      </c>
      <c r="F10" s="15" t="n">
        <v>40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Espèces</t>
        </is>
      </c>
    </row>
    <row r="11">
      <c r="A11" s="6" t="inlineStr">
        <is>
          <t>14h30–16h00</t>
        </is>
      </c>
      <c r="B11" s="13" t="inlineStr">
        <is>
          <t>Cimetière général (arquitectura de las tumbas, peintures sur les façades) — mototaxi aller/retour</t>
        </is>
      </c>
      <c r="C11" s="5" t="inlineStr"/>
      <c r="D11" s="13" t="inlineStr">
        <is>
          <t>BOB</t>
        </is>
      </c>
      <c r="E11" s="14" t="n">
        <v>15</v>
      </c>
      <c r="F11" s="15" t="n">
        <v>25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</t>
        </is>
      </c>
    </row>
    <row r="12">
      <c r="A12" s="6" t="inlineStr">
        <is>
          <t>16h00–17h30</t>
        </is>
      </c>
      <c r="B12" s="13" t="inlineStr">
        <is>
          <t>Mi Teleférico — ligne Jaune : Estación de Artes → Sopocachi (vue de nuit sur la cuvette)</t>
        </is>
      </c>
      <c r="C12" s="5" t="inlineStr"/>
      <c r="D12" s="13" t="inlineStr">
        <is>
          <t>BOB</t>
        </is>
      </c>
      <c r="E12" s="14" t="n">
        <v>3</v>
      </c>
      <c r="F12" s="15" t="n">
        <v>3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Espèces / QR</t>
        </is>
      </c>
    </row>
    <row r="13">
      <c r="A13" s="6" t="inlineStr">
        <is>
          <t>18h00–19h00</t>
        </is>
      </c>
      <c r="B13" s="13" t="inlineStr">
        <is>
          <t>Marché artisanal + change complémentaire (Calle Sagárnaga)</t>
        </is>
      </c>
      <c r="C13" s="5" t="inlineStr"/>
      <c r="D13" s="13" t="inlineStr">
        <is>
          <t>BOB</t>
        </is>
      </c>
      <c r="E13" s="14" t="n">
        <v>0</v>
      </c>
      <c r="F13" s="15" t="n">
        <v>60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Espèces</t>
        </is>
      </c>
    </row>
    <row r="14">
      <c r="A14" s="6" t="inlineStr">
        <is>
          <t>19h30–20h30</t>
        </is>
      </c>
      <c r="B14" s="13" t="inlineStr">
        <is>
          <t>Dîner à Sopocachi : plat + bière Paceña</t>
        </is>
      </c>
      <c r="C14" s="5" t="inlineStr"/>
      <c r="D14" s="13" t="inlineStr">
        <is>
          <t>BOB</t>
        </is>
      </c>
      <c r="E14" s="14" t="n">
        <v>45</v>
      </c>
      <c r="F14" s="15" t="n">
        <v>70</v>
      </c>
      <c r="G14" s="16">
        <f>IF(D14="","",E14/INDEX('Taux de change'!$B$5:$B$8,MATCH(D14,'Taux de change'!$A$5:$A$8,0)))</f>
        <v/>
      </c>
      <c r="H14" s="17">
        <f>IF(D14="","",F14/INDEX('Taux de change'!$B$5:$B$8,MATCH(D14,'Taux de change'!$A$5:$A$8,0)))</f>
        <v/>
      </c>
      <c r="I14" s="4" t="inlineStr">
        <is>
          <t>CB / esp.</t>
        </is>
      </c>
    </row>
    <row r="15">
      <c r="A15" s="6" t="inlineStr">
        <is>
          <t>—</t>
        </is>
      </c>
      <c r="B15" s="13" t="inlineStr">
        <is>
          <t>Retrait au DAB (BCP, Banco Unión) — plafonds Bs 700–2 000</t>
        </is>
      </c>
      <c r="C15" s="5" t="inlineStr"/>
      <c r="D15" s="13" t="inlineStr">
        <is>
          <t>BOB</t>
        </is>
      </c>
      <c r="E15" s="14" t="n">
        <v>25</v>
      </c>
      <c r="F15" s="15" t="n">
        <v>35</v>
      </c>
      <c r="G15" s="16">
        <f>IF(D15="","",E15/INDEX('Taux de change'!$B$5:$B$8,MATCH(D15,'Taux de change'!$A$5:$A$8,0)))</f>
        <v/>
      </c>
      <c r="H15" s="17">
        <f>IF(D15="","",F15/INDEX('Taux de change'!$B$5:$B$8,MATCH(D15,'Taux de change'!$A$5:$A$8,0)))</f>
        <v/>
      </c>
      <c r="I15" s="4" t="inlineStr">
        <is>
          <t>Espèces</t>
        </is>
      </c>
    </row>
    <row r="16">
      <c r="A16" s="19" t="n"/>
      <c r="B16" s="20" t="inlineStr">
        <is>
          <t>TOTAL JOUR</t>
        </is>
      </c>
      <c r="C16" s="19" t="n"/>
      <c r="D16" s="19" t="n"/>
      <c r="E16" s="19" t="n"/>
      <c r="F16" s="19" t="n"/>
      <c r="G16" s="21">
        <f>SUM(G6:G15)</f>
        <v/>
      </c>
      <c r="H16" s="21">
        <f>SUM(H6:H15)</f>
        <v/>
      </c>
      <c r="I16" s="1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3 — LA PAZ (Bolivie) — jour 2</t>
        </is>
      </c>
    </row>
    <row r="2">
      <c r="A2" s="2" t="inlineStr">
        <is>
          <t>Musées et préparation du vol vers Asunción</t>
        </is>
      </c>
    </row>
    <row r="3">
      <c r="A3" s="11" t="inlineStr">
        <is>
          <t>Altitude : 3 640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08h00–09h00</t>
        </is>
      </c>
      <c r="B6" s="13" t="inlineStr">
        <is>
          <t>Petit-déjeuner à l'hostal</t>
        </is>
      </c>
      <c r="C6" s="5" t="inlineStr"/>
      <c r="D6" s="13" t="inlineStr">
        <is>
          <t>BOB</t>
        </is>
      </c>
      <c r="E6" s="14" t="n">
        <v>10</v>
      </c>
      <c r="F6" s="15" t="n">
        <v>15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09h30–11h30</t>
        </is>
      </c>
      <c r="B7" s="13" t="inlineStr">
        <is>
          <t>Musée de l'art précolombien (Tiwanaku, Inca) — Casa del Corregidor</t>
        </is>
      </c>
      <c r="C7" s="5" t="inlineStr"/>
      <c r="D7" s="13" t="inlineStr">
        <is>
          <t>BOB</t>
        </is>
      </c>
      <c r="E7" s="14" t="n">
        <v>25</v>
      </c>
      <c r="F7" s="15" t="n">
        <v>25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 / CB</t>
        </is>
      </c>
    </row>
    <row r="8">
      <c r="A8" s="6" t="inlineStr">
        <is>
          <t>12h00–13h00</t>
        </is>
      </c>
      <c r="B8" s="13" t="inlineStr">
        <is>
          <t>Almuerzo : lomo saltado + jugo de naranja</t>
        </is>
      </c>
      <c r="C8" s="5" t="inlineStr"/>
      <c r="D8" s="13" t="inlineStr">
        <is>
          <t>BOB</t>
        </is>
      </c>
      <c r="E8" s="14" t="n">
        <v>30</v>
      </c>
      <c r="F8" s="15" t="n">
        <v>45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Espèces / CB</t>
        </is>
      </c>
    </row>
    <row r="9">
      <c r="A9" s="6" t="inlineStr">
        <is>
          <t>14h00–15h30</t>
        </is>
      </c>
      <c r="B9" s="13" t="inlineStr">
        <is>
          <t>Libre : Église San Francisco, Plaza Murillo, Palais du gouvernement (extérieur)</t>
        </is>
      </c>
      <c r="C9" s="5" t="inlineStr"/>
      <c r="D9" s="13" t="inlineStr">
        <is>
          <t>BOB</t>
        </is>
      </c>
      <c r="E9" s="14" t="n">
        <v>0</v>
      </c>
      <c r="F9" s="15" t="n">
        <v>30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—</t>
        </is>
      </c>
    </row>
    <row r="10">
      <c r="A10" s="6" t="inlineStr">
        <is>
          <t>15h30–16h30</t>
        </is>
      </c>
      <c r="B10" s="13" t="inlineStr">
        <is>
          <t>Retrait DAB complémentaire + change Bs → PYG auprès casa de cambio (taux 5–7 % moins bon qu'à Asunción)</t>
        </is>
      </c>
      <c r="C10" s="5" t="inlineStr">
        <is>
          <t>Ne changez ici que PYG 500 000–800 000 ; le reste à Asunción.</t>
        </is>
      </c>
      <c r="D10" s="13" t="inlineStr">
        <is>
          <t>BOB</t>
        </is>
      </c>
      <c r="E10" s="14" t="n">
        <v>25</v>
      </c>
      <c r="F10" s="15" t="n">
        <v>50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Espèces</t>
        </is>
      </c>
    </row>
    <row r="11">
      <c r="A11" s="6" t="inlineStr">
        <is>
          <t>16h30–17h30</t>
        </is>
      </c>
      <c r="B11" s="13" t="inlineStr">
        <is>
          <t>Transfert taxi vers aéroport El Alto (El Alto à 4 150 m)</t>
        </is>
      </c>
      <c r="C11" s="5" t="inlineStr">
        <is>
          <t>Compter 45 min–1 h selon le trafic et la météo.</t>
        </is>
      </c>
      <c r="D11" s="13" t="inlineStr">
        <is>
          <t>BOB</t>
        </is>
      </c>
      <c r="E11" s="14" t="n">
        <v>20</v>
      </c>
      <c r="F11" s="15" t="n">
        <v>40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 / CB</t>
        </is>
      </c>
    </row>
    <row r="12">
      <c r="A12" s="6" t="inlineStr">
        <is>
          <t>17h30–18h30</t>
        </is>
      </c>
      <c r="B12" s="13" t="inlineStr">
        <is>
          <t>Enregistrement + tasa de embarque + passage sécurité</t>
        </is>
      </c>
      <c r="C12" s="5" t="inlineStr"/>
      <c r="D12" s="13" t="inlineStr">
        <is>
          <t>BOB</t>
        </is>
      </c>
      <c r="E12" s="14" t="n">
        <v>8</v>
      </c>
      <c r="F12" s="15" t="n">
        <v>8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Espèces</t>
        </is>
      </c>
    </row>
    <row r="13">
      <c r="A13" s="6" t="inlineStr">
        <is>
          <t>18h30–19h00</t>
        </is>
      </c>
      <c r="B13" s="13" t="inlineStr">
        <is>
          <t>Repas / boissons en zone d'embarquement</t>
        </is>
      </c>
      <c r="C13" s="5" t="inlineStr"/>
      <c r="D13" s="13" t="inlineStr">
        <is>
          <t>BOB</t>
        </is>
      </c>
      <c r="E13" s="14" t="n">
        <v>20</v>
      </c>
      <c r="F13" s="15" t="n">
        <v>35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Espèces</t>
        </is>
      </c>
    </row>
    <row r="14">
      <c r="A14" s="6" t="inlineStr">
        <is>
          <t>19h00</t>
        </is>
      </c>
      <c r="B14" s="13" t="inlineStr">
        <is>
          <t>VOL LA PAZ → ASUNCIÓN — Latam, Viva Air · vol direct · 2 h 15 min · boisson incluse</t>
        </is>
      </c>
      <c r="C14" s="5" t="inlineStr">
        <is>
          <t>Réserver sur kayak.com.bo ou latam.com. Départ 19h00, arrivée 21h15 (−1 h Paraguay).</t>
        </is>
      </c>
      <c r="D14" s="13" t="inlineStr">
        <is>
          <t>BOB</t>
        </is>
      </c>
      <c r="E14" s="14" t="n">
        <v>200</v>
      </c>
      <c r="F14" s="15" t="n">
        <v>400</v>
      </c>
      <c r="G14" s="16">
        <f>IF(D14="","",E14/INDEX('Taux de change'!$B$5:$B$8,MATCH(D14,'Taux de change'!$A$5:$A$8,0)))</f>
        <v/>
      </c>
      <c r="H14" s="17">
        <f>IF(D14="","",F14/INDEX('Taux de change'!$B$5:$B$8,MATCH(D14,'Taux de change'!$A$5:$A$8,0)))</f>
        <v/>
      </c>
      <c r="I14" s="4" t="inlineStr">
        <is>
          <t>CB en ligne</t>
        </is>
      </c>
    </row>
    <row r="15">
      <c r="A15" s="6" t="inlineStr">
        <is>
          <t>21h15–21h45</t>
        </is>
      </c>
      <c r="B15" s="13" t="inlineStr">
        <is>
          <t>Arrivée aéroport Silvio Pettirossi (CMS) + récupération bagages</t>
        </is>
      </c>
      <c r="C15" s="5" t="inlineStr"/>
      <c r="D15" s="18" t="n"/>
      <c r="E15" s="7" t="n"/>
      <c r="F15" s="18" t="n"/>
      <c r="G15" s="7" t="n"/>
      <c r="H15" s="18" t="n"/>
      <c r="I15" s="4" t="inlineStr">
        <is>
          <t>—</t>
        </is>
      </c>
    </row>
    <row r="16">
      <c r="A16" s="6" t="inlineStr">
        <is>
          <t>22h00–23h00</t>
        </is>
      </c>
      <c r="B16" s="13" t="inlineStr">
        <is>
          <t>Taxi / minibus vers centre Asunción (15 km)</t>
        </is>
      </c>
      <c r="C16" s="5" t="inlineStr">
        <is>
          <t>Taxi blanc environ 150 000–200 000 Gs. Minibus partagé plus abordable.</t>
        </is>
      </c>
      <c r="D16" s="13" t="inlineStr">
        <is>
          <t>PYG</t>
        </is>
      </c>
      <c r="E16" s="22" t="n">
        <v>50000</v>
      </c>
      <c r="F16" s="23" t="n">
        <v>90000</v>
      </c>
      <c r="G16" s="16">
        <f>IF(D16="","",E16/INDEX('Taux de change'!$B$5:$B$8,MATCH(D16,'Taux de change'!$A$5:$A$8,0)))</f>
        <v/>
      </c>
      <c r="H16" s="17">
        <f>IF(D16="","",F16/INDEX('Taux de change'!$B$5:$B$8,MATCH(D16,'Taux de change'!$A$5:$A$8,0)))</f>
        <v/>
      </c>
      <c r="I16" s="4" t="inlineStr">
        <is>
          <t>Espèces / CB</t>
        </is>
      </c>
    </row>
    <row r="17">
      <c r="A17" s="6" t="inlineStr">
        <is>
          <t>23h00–23h30</t>
        </is>
      </c>
      <c r="B17" s="13" t="inlineStr">
        <is>
          <t>Check-in hostel Asunción — lit en dortoir</t>
        </is>
      </c>
      <c r="C17" s="5" t="inlineStr"/>
      <c r="D17" s="13" t="inlineStr">
        <is>
          <t>PYG</t>
        </is>
      </c>
      <c r="E17" s="22" t="n">
        <v>80000</v>
      </c>
      <c r="F17" s="23" t="n">
        <v>150000</v>
      </c>
      <c r="G17" s="16">
        <f>IF(D17="","",E17/INDEX('Taux de change'!$B$5:$B$8,MATCH(D17,'Taux de change'!$A$5:$A$8,0)))</f>
        <v/>
      </c>
      <c r="H17" s="17">
        <f>IF(D17="","",F17/INDEX('Taux de change'!$B$5:$B$8,MATCH(D17,'Taux de change'!$A$5:$A$8,0)))</f>
        <v/>
      </c>
      <c r="I17" s="4" t="inlineStr">
        <is>
          <t>CB / esp.</t>
        </is>
      </c>
    </row>
    <row r="18">
      <c r="A18" s="19" t="n"/>
      <c r="B18" s="20" t="inlineStr">
        <is>
          <t>TOTAL JOUR</t>
        </is>
      </c>
      <c r="C18" s="19" t="n"/>
      <c r="D18" s="19" t="n"/>
      <c r="E18" s="19" t="n"/>
      <c r="F18" s="19" t="n"/>
      <c r="G18" s="21">
        <f>SUM(G6:G17)</f>
        <v/>
      </c>
      <c r="H18" s="21">
        <f>SUM(H6:H17)</f>
        <v/>
      </c>
      <c r="I18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4 — ASUNCIÓN (Paraguay) — jour 1</t>
        </is>
      </c>
    </row>
    <row r="2">
      <c r="A2" s="2" t="inlineStr">
        <is>
          <t>Acclimatation et exploration du centre historique</t>
        </is>
      </c>
    </row>
    <row r="3">
      <c r="A3" s="11" t="inlineStr">
        <is>
          <t>Altitude : 54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08h30–09h30</t>
        </is>
      </c>
      <c r="B6" s="13" t="inlineStr">
        <is>
          <t>Petit-déjeuner : café + medialunas + tereré (boisson typique)</t>
        </is>
      </c>
      <c r="C6" s="5" t="inlineStr"/>
      <c r="D6" s="13" t="inlineStr">
        <is>
          <t>PYG</t>
        </is>
      </c>
      <c r="E6" s="22" t="n">
        <v>8000</v>
      </c>
      <c r="F6" s="23" t="n">
        <v>15000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10h00–12h00</t>
        </is>
      </c>
      <c r="B7" s="13" t="inlineStr">
        <is>
          <t>Free walking tour Asunción (départ Plaza de Armas) — pourboire attendu</t>
        </is>
      </c>
      <c r="C7" s="5" t="inlineStr"/>
      <c r="D7" s="13" t="inlineStr">
        <is>
          <t>PYG</t>
        </is>
      </c>
      <c r="E7" s="22" t="n">
        <v>50000</v>
      </c>
      <c r="F7" s="23" t="n">
        <v>80000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</t>
        </is>
      </c>
    </row>
    <row r="8">
      <c r="A8" s="6" t="inlineStr">
        <is>
          <t>12h15–12h45</t>
        </is>
      </c>
      <c r="B8" s="13" t="inlineStr">
        <is>
          <t>Métro Asunción (unique ligne, courte mais emblématique) aller-retour pour voir Luque</t>
        </is>
      </c>
      <c r="C8" s="5" t="inlineStr">
        <is>
          <t>Billet unique à l'avance, sinon vente à l'unité.</t>
        </is>
      </c>
      <c r="D8" s="13" t="inlineStr">
        <is>
          <t>PYG</t>
        </is>
      </c>
      <c r="E8" s="22" t="n">
        <v>3500</v>
      </c>
      <c r="F8" s="23" t="n">
        <v>3500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Espèces / CB</t>
        </is>
      </c>
    </row>
    <row r="9">
      <c r="A9" s="6" t="inlineStr">
        <is>
          <t>13h00–14h00</t>
        </is>
      </c>
      <c r="B9" s="13" t="inlineStr">
        <is>
          <t>Almuerzo : sopa paraguaya + ensalada de tomate + jus de papaye</t>
        </is>
      </c>
      <c r="C9" s="5" t="inlineStr"/>
      <c r="D9" s="13" t="inlineStr">
        <is>
          <t>PYG</t>
        </is>
      </c>
      <c r="E9" s="22" t="n">
        <v>20000</v>
      </c>
      <c r="F9" s="23" t="n">
        <v>35000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Espèces</t>
        </is>
      </c>
    </row>
    <row r="10">
      <c r="A10" s="6" t="inlineStr">
        <is>
          <t>14h30–16h00</t>
        </is>
      </c>
      <c r="B10" s="13" t="inlineStr">
        <is>
          <t>Musée du Palais López (extérieur), Cathédrale métropolitaine (visite libre), Cabildo colonial</t>
        </is>
      </c>
      <c r="C10" s="5" t="inlineStr"/>
      <c r="D10" s="13" t="inlineStr">
        <is>
          <t>PYG</t>
        </is>
      </c>
      <c r="E10" s="22" t="n">
        <v>0</v>
      </c>
      <c r="F10" s="23" t="n">
        <v>20000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Espèces / CB</t>
        </is>
      </c>
    </row>
    <row r="11">
      <c r="A11" s="6" t="inlineStr">
        <is>
          <t>16h00–17h30</t>
        </is>
      </c>
      <c r="B11" s="13" t="inlineStr">
        <is>
          <t>Marché Pettirossi (artisanat, bordados) — mototaxi aller/retour</t>
        </is>
      </c>
      <c r="C11" s="5" t="inlineStr"/>
      <c r="D11" s="13" t="inlineStr">
        <is>
          <t>PYG</t>
        </is>
      </c>
      <c r="E11" s="22" t="n">
        <v>15000</v>
      </c>
      <c r="F11" s="23" t="n">
        <v>25000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</t>
        </is>
      </c>
    </row>
    <row r="12">
      <c r="A12" s="6" t="inlineStr">
        <is>
          <t>18h00–19h00</t>
        </is>
      </c>
      <c r="B12" s="13" t="inlineStr">
        <is>
          <t>Change PYG (si besoin) + retrait DAB (BCP, Itaú, Banco del Barrio)</t>
        </is>
      </c>
      <c r="C12" s="5" t="inlineStr">
        <is>
          <t>Plafonds 500 000–1 500 000 Gs par retrait. Taux moins bon qu'en Pérou.</t>
        </is>
      </c>
      <c r="D12" s="13" t="inlineStr">
        <is>
          <t>PYG</t>
        </is>
      </c>
      <c r="E12" s="22" t="n">
        <v>25000</v>
      </c>
      <c r="F12" s="23" t="n">
        <v>40000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Espèces</t>
        </is>
      </c>
    </row>
    <row r="13">
      <c r="A13" s="6" t="inlineStr">
        <is>
          <t>19h30–20h30</t>
        </is>
      </c>
      <c r="B13" s="13" t="inlineStr">
        <is>
          <t>Dîner : chop suey asunceño (pâtes + viande) + cerveza Brahma</t>
        </is>
      </c>
      <c r="C13" s="5" t="inlineStr"/>
      <c r="D13" s="13" t="inlineStr">
        <is>
          <t>PYG</t>
        </is>
      </c>
      <c r="E13" s="22" t="n">
        <v>30000</v>
      </c>
      <c r="F13" s="23" t="n">
        <v>50000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CB / esp.</t>
        </is>
      </c>
    </row>
    <row r="14">
      <c r="A14" s="6" t="inlineStr">
        <is>
          <t>—</t>
        </is>
      </c>
      <c r="B14" s="13" t="inlineStr">
        <is>
          <t>Eau 4 L + snacks pour les trajets</t>
        </is>
      </c>
      <c r="C14" s="5" t="inlineStr"/>
      <c r="D14" s="13" t="inlineStr">
        <is>
          <t>PYG</t>
        </is>
      </c>
      <c r="E14" s="22" t="n">
        <v>5000</v>
      </c>
      <c r="F14" s="23" t="n">
        <v>10000</v>
      </c>
      <c r="G14" s="16">
        <f>IF(D14="","",E14/INDEX('Taux de change'!$B$5:$B$8,MATCH(D14,'Taux de change'!$A$5:$A$8,0)))</f>
        <v/>
      </c>
      <c r="H14" s="17">
        <f>IF(D14="","",F14/INDEX('Taux de change'!$B$5:$B$8,MATCH(D14,'Taux de change'!$A$5:$A$8,0)))</f>
        <v/>
      </c>
      <c r="I14" s="4" t="inlineStr">
        <is>
          <t>Espèces</t>
        </is>
      </c>
    </row>
    <row r="15">
      <c r="A15" s="19" t="n"/>
      <c r="B15" s="20" t="inlineStr">
        <is>
          <t>TOTAL JOUR</t>
        </is>
      </c>
      <c r="C15" s="19" t="n"/>
      <c r="D15" s="19" t="n"/>
      <c r="E15" s="19" t="n"/>
      <c r="F15" s="19" t="n"/>
      <c r="G15" s="21">
        <f>SUM(G6:G14)</f>
        <v/>
      </c>
      <c r="H15" s="21">
        <f>SUM(H6:H14)</f>
        <v/>
      </c>
      <c r="I15" s="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5 — ASUNCIÓN (Paraguay) — jour 2</t>
        </is>
      </c>
    </row>
    <row r="2">
      <c r="A2" s="2" t="inlineStr">
        <is>
          <t>Riviera Paraguay et préparation du vol vers Rio</t>
        </is>
      </c>
    </row>
    <row r="3">
      <c r="A3" s="11" t="inlineStr">
        <is>
          <t>Altitude : 54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08h30–09h30</t>
        </is>
      </c>
      <c r="B6" s="13" t="inlineStr">
        <is>
          <t>Petit-déjeuner à l'hostal</t>
        </is>
      </c>
      <c r="C6" s="5" t="inlineStr"/>
      <c r="D6" s="13" t="inlineStr">
        <is>
          <t>PYG</t>
        </is>
      </c>
      <c r="E6" s="22" t="n">
        <v>8000</v>
      </c>
      <c r="F6" s="23" t="n">
        <v>12000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10h00–13h00</t>
        </is>
      </c>
      <c r="B7" s="13" t="inlineStr">
        <is>
          <t>Paseo Costanero (rivière Paraguay) — balade sans guide, photos, parc de la Riviera</t>
        </is>
      </c>
      <c r="C7" s="5" t="inlineStr"/>
      <c r="D7" s="13" t="inlineStr">
        <is>
          <t>PYG</t>
        </is>
      </c>
      <c r="E7" s="22" t="n">
        <v>0</v>
      </c>
      <c r="F7" s="23" t="n">
        <v>15000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</t>
        </is>
      </c>
    </row>
    <row r="8">
      <c r="A8" s="6" t="inlineStr">
        <is>
          <t>13h00–14h00</t>
        </is>
      </c>
      <c r="B8" s="13" t="inlineStr">
        <is>
          <t>Almuerzo : milanesas + ensalada + jugo</t>
        </is>
      </c>
      <c r="C8" s="5" t="inlineStr"/>
      <c r="D8" s="13" t="inlineStr">
        <is>
          <t>PYG</t>
        </is>
      </c>
      <c r="E8" s="22" t="n">
        <v>20000</v>
      </c>
      <c r="F8" s="23" t="n">
        <v>35000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Espèces</t>
        </is>
      </c>
    </row>
    <row r="9">
      <c r="A9" s="6" t="inlineStr">
        <is>
          <t>14h30–16h00</t>
        </is>
      </c>
      <c r="B9" s="13" t="inlineStr">
        <is>
          <t>Marché flottant (domingo a jueves) ou Feria Americana si fermé</t>
        </is>
      </c>
      <c r="C9" s="5" t="inlineStr">
        <is>
          <t>Feria Americana : fripes, électronique, fourre-tout.</t>
        </is>
      </c>
      <c r="D9" s="13" t="inlineStr">
        <is>
          <t>PYG</t>
        </is>
      </c>
      <c r="E9" s="22" t="n">
        <v>0</v>
      </c>
      <c r="F9" s="23" t="n">
        <v>50000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Espèces</t>
        </is>
      </c>
    </row>
    <row r="10">
      <c r="A10" s="6" t="inlineStr">
        <is>
          <t>16h00–17h00</t>
        </is>
      </c>
      <c r="B10" s="13" t="inlineStr">
        <is>
          <t>Retrait DAB final + change restant PYG → BRL (taux 10–12 % moins bon qu'au Brésil)</t>
        </is>
      </c>
      <c r="C10" s="5" t="inlineStr"/>
      <c r="D10" s="13" t="inlineStr">
        <is>
          <t>PYG</t>
        </is>
      </c>
      <c r="E10" s="22" t="n">
        <v>25000</v>
      </c>
      <c r="F10" s="23" t="n">
        <v>50000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Espèces</t>
        </is>
      </c>
    </row>
    <row r="11">
      <c r="A11" s="6" t="inlineStr">
        <is>
          <t>17h00–18h00</t>
        </is>
      </c>
      <c r="B11" s="13" t="inlineStr">
        <is>
          <t>Transfert taxi vers aéroport Silvio Pettirossi</t>
        </is>
      </c>
      <c r="C11" s="5" t="inlineStr">
        <is>
          <t>15 km, 20–30 min selon trafic.</t>
        </is>
      </c>
      <c r="D11" s="13" t="inlineStr">
        <is>
          <t>PYG</t>
        </is>
      </c>
      <c r="E11" s="22" t="n">
        <v>50000</v>
      </c>
      <c r="F11" s="23" t="n">
        <v>100000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 / CB</t>
        </is>
      </c>
    </row>
    <row r="12">
      <c r="A12" s="6" t="inlineStr">
        <is>
          <t>18h00–19h00</t>
        </is>
      </c>
      <c r="B12" s="13" t="inlineStr">
        <is>
          <t>Enregistrement + tasa de embarque + sécurité</t>
        </is>
      </c>
      <c r="C12" s="5" t="inlineStr"/>
      <c r="D12" s="13" t="inlineStr">
        <is>
          <t>PYG</t>
        </is>
      </c>
      <c r="E12" s="22" t="n">
        <v>10000</v>
      </c>
      <c r="F12" s="23" t="n">
        <v>10000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Espèces</t>
        </is>
      </c>
    </row>
    <row r="13">
      <c r="A13" s="6" t="inlineStr">
        <is>
          <t>19h00–19h30</t>
        </is>
      </c>
      <c r="B13" s="13" t="inlineStr">
        <is>
          <t>Repas / boissons en zone d'embarquement</t>
        </is>
      </c>
      <c r="C13" s="5" t="inlineStr"/>
      <c r="D13" s="13" t="inlineStr">
        <is>
          <t>PYG</t>
        </is>
      </c>
      <c r="E13" s="22" t="n">
        <v>20000</v>
      </c>
      <c r="F13" s="23" t="n">
        <v>40000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Espèces</t>
        </is>
      </c>
    </row>
    <row r="14">
      <c r="A14" s="6" t="inlineStr">
        <is>
          <t>19h30</t>
        </is>
      </c>
      <c r="B14" s="13" t="inlineStr">
        <is>
          <t>VOL ASUNCIÓN → RIO DE JANEIRO — Latam, Azul, Gol · vol direct · 2 h 45 min · boisson + snack</t>
        </is>
      </c>
      <c r="C14" s="5" t="inlineStr">
        <is>
          <t>Réserver sur decolar.com.py, latam.com ou directement cie aérienne. Départ 19h30, arrivée 21h15 (+1 h Brésil).</t>
        </is>
      </c>
      <c r="D14" s="13" t="inlineStr">
        <is>
          <t>PYG</t>
        </is>
      </c>
      <c r="E14" s="22" t="n">
        <v>300000</v>
      </c>
      <c r="F14" s="23" t="n">
        <v>550000</v>
      </c>
      <c r="G14" s="16">
        <f>IF(D14="","",E14/INDEX('Taux de change'!$B$5:$B$8,MATCH(D14,'Taux de change'!$A$5:$A$8,0)))</f>
        <v/>
      </c>
      <c r="H14" s="17">
        <f>IF(D14="","",F14/INDEX('Taux de change'!$B$5:$B$8,MATCH(D14,'Taux de change'!$A$5:$A$8,0)))</f>
        <v/>
      </c>
      <c r="I14" s="4" t="inlineStr">
        <is>
          <t>CB en ligne</t>
        </is>
      </c>
    </row>
    <row r="15">
      <c r="A15" s="6" t="inlineStr">
        <is>
          <t>21h15–21h45</t>
        </is>
      </c>
      <c r="B15" s="13" t="inlineStr">
        <is>
          <t>Arrivée aéroport Santos Dumont (SDU) ou Galeão (GIG) + récupération bagages</t>
        </is>
      </c>
      <c r="C15" s="5" t="inlineStr"/>
      <c r="D15" s="18" t="n"/>
      <c r="E15" s="7" t="n"/>
      <c r="F15" s="18" t="n"/>
      <c r="G15" s="7" t="n"/>
      <c r="H15" s="18" t="n"/>
      <c r="I15" s="4" t="inlineStr">
        <is>
          <t>—</t>
        </is>
      </c>
    </row>
    <row r="16">
      <c r="A16" s="6" t="inlineStr">
        <is>
          <t>22h00–23h30</t>
        </is>
      </c>
      <c r="B16" s="13" t="inlineStr">
        <is>
          <t>Transfert taxi / Uber vers centre Rio / Copacabana (45–70 km selon aéroport)</t>
        </is>
      </c>
      <c r="C16" s="5" t="inlineStr">
        <is>
          <t>Uber depuis le téléphone = meilleur prix. Santos Dumont plus proche du centre.</t>
        </is>
      </c>
      <c r="D16" s="13" t="inlineStr">
        <is>
          <t>BRL</t>
        </is>
      </c>
      <c r="E16" s="14" t="n">
        <v>60</v>
      </c>
      <c r="F16" s="15" t="n">
        <v>120</v>
      </c>
      <c r="G16" s="16">
        <f>IF(D16="","",E16/INDEX('Taux de change'!$B$5:$B$8,MATCH(D16,'Taux de change'!$A$5:$A$8,0)))</f>
        <v/>
      </c>
      <c r="H16" s="17">
        <f>IF(D16="","",F16/INDEX('Taux de change'!$B$5:$B$8,MATCH(D16,'Taux de change'!$A$5:$A$8,0)))</f>
        <v/>
      </c>
      <c r="I16" s="4" t="inlineStr">
        <is>
          <t>CB (in-app)</t>
        </is>
      </c>
    </row>
    <row r="17">
      <c r="A17" s="6" t="inlineStr">
        <is>
          <t>23h30–00h00</t>
        </is>
      </c>
      <c r="B17" s="13" t="inlineStr">
        <is>
          <t>Check-in hostel Rio — lit en dortoir (Lapa ou Copacabana)</t>
        </is>
      </c>
      <c r="C17" s="5" t="inlineStr"/>
      <c r="D17" s="13" t="inlineStr">
        <is>
          <t>BRL</t>
        </is>
      </c>
      <c r="E17" s="14" t="n">
        <v>80</v>
      </c>
      <c r="F17" s="15" t="n">
        <v>150</v>
      </c>
      <c r="G17" s="16">
        <f>IF(D17="","",E17/INDEX('Taux de change'!$B$5:$B$8,MATCH(D17,'Taux de change'!$A$5:$A$8,0)))</f>
        <v/>
      </c>
      <c r="H17" s="17">
        <f>IF(D17="","",F17/INDEX('Taux de change'!$B$5:$B$8,MATCH(D17,'Taux de change'!$A$5:$A$8,0)))</f>
        <v/>
      </c>
      <c r="I17" s="4" t="inlineStr">
        <is>
          <t>CB / esp.</t>
        </is>
      </c>
    </row>
    <row r="18">
      <c r="A18" s="19" t="n"/>
      <c r="B18" s="20" t="inlineStr">
        <is>
          <t>TOTAL JOUR</t>
        </is>
      </c>
      <c r="C18" s="19" t="n"/>
      <c r="D18" s="19" t="n"/>
      <c r="E18" s="19" t="n"/>
      <c r="F18" s="19" t="n"/>
      <c r="G18" s="21">
        <f>SUM(G6:G17)</f>
        <v/>
      </c>
      <c r="H18" s="21">
        <f>SUM(H6:H17)</f>
        <v/>
      </c>
      <c r="I18" s="1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6 — RIO DE JANEIRO (Brésil) — jour 1</t>
        </is>
      </c>
    </row>
    <row r="2">
      <c r="A2" s="2" t="inlineStr">
        <is>
          <t>Acclimatation et plages — Copacabana et Ipanema</t>
        </is>
      </c>
    </row>
    <row r="3">
      <c r="A3" s="11" t="inlineStr">
        <is>
          <t>Altitude : 6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09h00–10h00</t>
        </is>
      </c>
      <c r="B6" s="13" t="inlineStr">
        <is>
          <t>Petit-déjeuner : café + pão de queijo + suco de laranja (jus d'orange frais)</t>
        </is>
      </c>
      <c r="C6" s="5" t="inlineStr"/>
      <c r="D6" s="13" t="inlineStr">
        <is>
          <t>BRL</t>
        </is>
      </c>
      <c r="E6" s="14" t="n">
        <v>12</v>
      </c>
      <c r="F6" s="15" t="n">
        <v>20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10h30–12h00</t>
        </is>
      </c>
      <c r="B7" s="13" t="inlineStr">
        <is>
          <t>Plage Copacabana — bain, repos après 3 vols</t>
        </is>
      </c>
      <c r="C7" s="5" t="inlineStr">
        <is>
          <t>Louer une chaise + parasol Bs 20–30. Agua de coco fresco : R$ 8–12.</t>
        </is>
      </c>
      <c r="D7" s="13" t="inlineStr">
        <is>
          <t>BRL</t>
        </is>
      </c>
      <c r="E7" s="14" t="n">
        <v>0</v>
      </c>
      <c r="F7" s="15" t="n">
        <v>50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 / CB</t>
        </is>
      </c>
    </row>
    <row r="8">
      <c r="A8" s="6" t="inlineStr">
        <is>
          <t>12h30–13h30</t>
        </is>
      </c>
      <c r="B8" s="13" t="inlineStr">
        <is>
          <t>Almuerzo : peixe grelhado à Moqueca (ragoût de poisson) + agua com gás (eau gazeuse)</t>
        </is>
      </c>
      <c r="C8" s="5" t="inlineStr"/>
      <c r="D8" s="13" t="inlineStr">
        <is>
          <t>BRL</t>
        </is>
      </c>
      <c r="E8" s="14" t="n">
        <v>30</v>
      </c>
      <c r="F8" s="15" t="n">
        <v>50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Espèces / CB</t>
        </is>
      </c>
    </row>
    <row r="9">
      <c r="A9" s="6" t="inlineStr">
        <is>
          <t>14h00–16h00</t>
        </is>
      </c>
      <c r="B9" s="13" t="inlineStr">
        <is>
          <t>Promenade Copacabana → Arpoador (pic rocheux) → Ipanema, arrêts photos</t>
        </is>
      </c>
      <c r="C9" s="5" t="inlineStr"/>
      <c r="D9" s="13" t="inlineStr">
        <is>
          <t>BRL</t>
        </is>
      </c>
      <c r="E9" s="14" t="n">
        <v>0</v>
      </c>
      <c r="F9" s="15" t="n">
        <v>20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—</t>
        </is>
      </c>
    </row>
    <row r="10">
      <c r="A10" s="6" t="inlineStr">
        <is>
          <t>16h30–17h30</t>
        </is>
      </c>
      <c r="B10" s="13" t="inlineStr">
        <is>
          <t>Marché artisanal Ipanema (Praça General Osório dimanche) ou boutiques Rua Garcia d'Ávila</t>
        </is>
      </c>
      <c r="C10" s="5" t="inlineStr"/>
      <c r="D10" s="13" t="inlineStr">
        <is>
          <t>BRL</t>
        </is>
      </c>
      <c r="E10" s="14" t="n">
        <v>0</v>
      </c>
      <c r="F10" s="15" t="n">
        <v>100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CB / esp.</t>
        </is>
      </c>
    </row>
    <row r="11">
      <c r="A11" s="6" t="inlineStr">
        <is>
          <t>18h00–19h00</t>
        </is>
      </c>
      <c r="B11" s="13" t="inlineStr">
        <is>
          <t>Retrait DAB final (Bradesco, Itaú) + change si besoin</t>
        </is>
      </c>
      <c r="C11" s="5" t="inlineStr">
        <is>
          <t>Plafonds R$ 500–1 000 par retrait, DAB souvent pleins.</t>
        </is>
      </c>
      <c r="D11" s="13" t="inlineStr">
        <is>
          <t>BRL</t>
        </is>
      </c>
      <c r="E11" s="14" t="n">
        <v>20</v>
      </c>
      <c r="F11" s="15" t="n">
        <v>40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</t>
        </is>
      </c>
    </row>
    <row r="12">
      <c r="A12" s="6" t="inlineStr">
        <is>
          <t>19h30–20h30</t>
        </is>
      </c>
      <c r="B12" s="13" t="inlineStr">
        <is>
          <t>Dîner : churrasco (brochettes grillées) + bière Brahma</t>
        </is>
      </c>
      <c r="C12" s="5" t="inlineStr"/>
      <c r="D12" s="13" t="inlineStr">
        <is>
          <t>BRL</t>
        </is>
      </c>
      <c r="E12" s="14" t="n">
        <v>50</v>
      </c>
      <c r="F12" s="15" t="n">
        <v>80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CB / esp.</t>
        </is>
      </c>
    </row>
    <row r="13">
      <c r="A13" s="6" t="inlineStr">
        <is>
          <t>—</t>
        </is>
      </c>
      <c r="B13" s="13" t="inlineStr">
        <is>
          <t>Eau 2 L + fruits (banane, orange) — marché local moins cher</t>
        </is>
      </c>
      <c r="C13" s="5" t="inlineStr"/>
      <c r="D13" s="13" t="inlineStr">
        <is>
          <t>BRL</t>
        </is>
      </c>
      <c r="E13" s="14" t="n">
        <v>10</v>
      </c>
      <c r="F13" s="15" t="n">
        <v>15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Espèces</t>
        </is>
      </c>
    </row>
    <row r="14">
      <c r="A14" s="19" t="n"/>
      <c r="B14" s="20" t="inlineStr">
        <is>
          <t>TOTAL JOUR</t>
        </is>
      </c>
      <c r="C14" s="19" t="n"/>
      <c r="D14" s="19" t="n"/>
      <c r="E14" s="19" t="n"/>
      <c r="F14" s="19" t="n"/>
      <c r="G14" s="21">
        <f>SUM(G6:G13)</f>
        <v/>
      </c>
      <c r="H14" s="21">
        <f>SUM(H6:H13)</f>
        <v/>
      </c>
      <c r="I14" s="1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7 — RIO DE JANEIRO (Brésil) — jour 2</t>
        </is>
      </c>
    </row>
    <row r="2">
      <c r="A2" s="2" t="inlineStr">
        <is>
          <t>Christ Rédempteur et montagne du Pain de Sucre</t>
        </is>
      </c>
    </row>
    <row r="3">
      <c r="A3" s="11" t="inlineStr">
        <is>
          <t>Altitude : 6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08h00–09h00</t>
        </is>
      </c>
      <c r="B6" s="13" t="inlineStr">
        <is>
          <t>Petit-déjeuner à l'hostal</t>
        </is>
      </c>
      <c r="C6" s="5" t="inlineStr"/>
      <c r="D6" s="13" t="inlineStr">
        <is>
          <t>BRL</t>
        </is>
      </c>
      <c r="E6" s="14" t="n">
        <v>10</v>
      </c>
      <c r="F6" s="15" t="n">
        <v>15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09h30–10h30</t>
        </is>
      </c>
      <c r="B7" s="13" t="inlineStr">
        <is>
          <t>Train à crémaillère + entrée Christ Rédempteur (Corcovado, 709 m)</t>
        </is>
      </c>
      <c r="C7" s="5" t="inlineStr">
        <is>
          <t>Accès par: train dentelle départ Cosme Velho (45 min aller) ou van (15 min). Pluie fréquente = photos floues.</t>
        </is>
      </c>
      <c r="D7" s="13" t="inlineStr">
        <is>
          <t>BRL</t>
        </is>
      </c>
      <c r="E7" s="14" t="n">
        <v>95</v>
      </c>
      <c r="F7" s="15" t="n">
        <v>130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CB en ligne</t>
        </is>
      </c>
    </row>
    <row r="8">
      <c r="A8" s="6" t="inlineStr">
        <is>
          <t>10h30–12h00</t>
        </is>
      </c>
      <c r="B8" s="13" t="inlineStr">
        <is>
          <t>Visite statue du Christ (7,5 t, 40 m, vue à 360° sur la baie de Guanabara)</t>
        </is>
      </c>
      <c r="C8" s="5" t="inlineStr"/>
      <c r="D8" s="18" t="n"/>
      <c r="E8" s="7" t="n"/>
      <c r="F8" s="18" t="n"/>
      <c r="G8" s="7" t="n"/>
      <c r="H8" s="18" t="n"/>
      <c r="I8" s="4" t="inlineStr">
        <is>
          <t>—</t>
        </is>
      </c>
    </row>
    <row r="9">
      <c r="A9" s="6" t="inlineStr">
        <is>
          <t>12h00–13h30</t>
        </is>
      </c>
      <c r="B9" s="13" t="inlineStr">
        <is>
          <t>Descente + déjeuner léger en chemin</t>
        </is>
      </c>
      <c r="C9" s="5" t="inlineStr"/>
      <c r="D9" s="13" t="inlineStr">
        <is>
          <t>BRL</t>
        </is>
      </c>
      <c r="E9" s="14" t="n">
        <v>20</v>
      </c>
      <c r="F9" s="15" t="n">
        <v>40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Espèces</t>
        </is>
      </c>
    </row>
    <row r="10">
      <c r="A10" s="6" t="inlineStr">
        <is>
          <t>14h00–15h00</t>
        </is>
      </c>
      <c r="B10" s="13" t="inlineStr">
        <is>
          <t>Ascenseur incliné vers Pain de Sucre (Pão de Açúcar, 396 m)</t>
        </is>
      </c>
      <c r="C10" s="5" t="inlineStr">
        <is>
          <t>2 téléphériques successifs. Vue spectaculaire sur Copacabana et Baie.</t>
        </is>
      </c>
      <c r="D10" s="13" t="inlineStr">
        <is>
          <t>BRL</t>
        </is>
      </c>
      <c r="E10" s="14" t="n">
        <v>70</v>
      </c>
      <c r="F10" s="15" t="n">
        <v>100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CB en ligne</t>
        </is>
      </c>
    </row>
    <row r="11">
      <c r="A11" s="6" t="inlineStr">
        <is>
          <t>15h00–17h00</t>
        </is>
      </c>
      <c r="B11" s="13" t="inlineStr">
        <is>
          <t>Panoramas, photos au coucher du soleil</t>
        </is>
      </c>
      <c r="C11" s="5" t="inlineStr">
        <is>
          <t>Bar/café au sommet (chers). Redescendre avant 18h (fermeture).</t>
        </is>
      </c>
      <c r="D11" s="13" t="inlineStr">
        <is>
          <t>BRL</t>
        </is>
      </c>
      <c r="E11" s="14" t="n">
        <v>0</v>
      </c>
      <c r="F11" s="15" t="n">
        <v>50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 / CB</t>
        </is>
      </c>
    </row>
    <row r="12">
      <c r="A12" s="6" t="inlineStr">
        <is>
          <t>17h30–18h30</t>
        </is>
      </c>
      <c r="B12" s="13" t="inlineStr">
        <is>
          <t>Marche Ipanema ou Barra da Tijuca selon l'envie</t>
        </is>
      </c>
      <c r="C12" s="5" t="inlineStr"/>
      <c r="D12" s="13" t="inlineStr">
        <is>
          <t>BRL</t>
        </is>
      </c>
      <c r="E12" s="14" t="n">
        <v>0</v>
      </c>
      <c r="F12" s="15" t="n">
        <v>30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Espèces</t>
        </is>
      </c>
    </row>
    <row r="13">
      <c r="A13" s="6" t="inlineStr">
        <is>
          <t>19h00–20h00</t>
        </is>
      </c>
      <c r="B13" s="13" t="inlineStr">
        <is>
          <t>Dîner : feijoada (ragoût d'haricots noirs + porc) — restaurant local (pas touristique)</t>
        </is>
      </c>
      <c r="C13" s="5" t="inlineStr"/>
      <c r="D13" s="13" t="inlineStr">
        <is>
          <t>BRL</t>
        </is>
      </c>
      <c r="E13" s="14" t="n">
        <v>40</v>
      </c>
      <c r="F13" s="15" t="n">
        <v>70</v>
      </c>
      <c r="G13" s="16">
        <f>IF(D13="","",E13/INDEX('Taux de change'!$B$5:$B$8,MATCH(D13,'Taux de change'!$A$5:$A$8,0)))</f>
        <v/>
      </c>
      <c r="H13" s="17">
        <f>IF(D13="","",F13/INDEX('Taux de change'!$B$5:$B$8,MATCH(D13,'Taux de change'!$A$5:$A$8,0)))</f>
        <v/>
      </c>
      <c r="I13" s="4" t="inlineStr">
        <is>
          <t>CB / esp.</t>
        </is>
      </c>
    </row>
    <row r="14">
      <c r="A14" s="19" t="n"/>
      <c r="B14" s="20" t="inlineStr">
        <is>
          <t>TOTAL JOUR</t>
        </is>
      </c>
      <c r="C14" s="19" t="n"/>
      <c r="D14" s="19" t="n"/>
      <c r="E14" s="19" t="n"/>
      <c r="F14" s="19" t="n"/>
      <c r="G14" s="21">
        <f>SUM(G6:G13)</f>
        <v/>
      </c>
      <c r="H14" s="21">
        <f>SUM(H6:H13)</f>
        <v/>
      </c>
      <c r="I14" s="1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9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JOUR 8 — RIO DE JANEIRO (Brésil) — jour 3</t>
        </is>
      </c>
    </row>
    <row r="2">
      <c r="A2" s="2" t="inlineStr">
        <is>
          <t>Derniers sites, shopping et départ</t>
        </is>
      </c>
    </row>
    <row r="3">
      <c r="A3" s="11" t="inlineStr">
        <is>
          <t>Altitude : 6 m</t>
        </is>
      </c>
    </row>
    <row r="5" ht="26" customHeight="1">
      <c r="A5" s="3" t="inlineStr">
        <is>
          <t>Horaires</t>
        </is>
      </c>
      <c r="B5" s="3" t="inlineStr">
        <is>
          <t>Activité / prestation</t>
        </is>
      </c>
      <c r="C5" s="3" t="inlineStr">
        <is>
          <t>Détail, vigilance, alternative</t>
        </is>
      </c>
      <c r="D5" s="3" t="inlineStr">
        <is>
          <t>Devise</t>
        </is>
      </c>
      <c r="E5" s="12" t="inlineStr">
        <is>
          <t>Coût local min</t>
        </is>
      </c>
      <c r="F5" s="12" t="inlineStr">
        <is>
          <t>Coût local max</t>
        </is>
      </c>
      <c r="G5" s="12" t="inlineStr">
        <is>
          <t>Coût USD min</t>
        </is>
      </c>
      <c r="H5" s="12" t="inlineStr">
        <is>
          <t>Coût USD max</t>
        </is>
      </c>
      <c r="I5" s="3" t="inlineStr">
        <is>
          <t>Paiement</t>
        </is>
      </c>
    </row>
    <row r="6">
      <c r="A6" s="6" t="inlineStr">
        <is>
          <t>09h00–10h00</t>
        </is>
      </c>
      <c r="B6" s="13" t="inlineStr">
        <is>
          <t>Petit-déjeuner</t>
        </is>
      </c>
      <c r="C6" s="5" t="inlineStr"/>
      <c r="D6" s="13" t="inlineStr">
        <is>
          <t>BRL</t>
        </is>
      </c>
      <c r="E6" s="14" t="n">
        <v>10</v>
      </c>
      <c r="F6" s="15" t="n">
        <v>20</v>
      </c>
      <c r="G6" s="16">
        <f>IF(D6="","",E6/INDEX('Taux de change'!$B$5:$B$8,MATCH(D6,'Taux de change'!$A$5:$A$8,0)))</f>
        <v/>
      </c>
      <c r="H6" s="17">
        <f>IF(D6="","",F6/INDEX('Taux de change'!$B$5:$B$8,MATCH(D6,'Taux de change'!$A$5:$A$8,0)))</f>
        <v/>
      </c>
      <c r="I6" s="4" t="inlineStr">
        <is>
          <t>Espèces</t>
        </is>
      </c>
    </row>
    <row r="7">
      <c r="A7" s="6" t="inlineStr">
        <is>
          <t>10h30–12h00</t>
        </is>
      </c>
      <c r="B7" s="13" t="inlineStr">
        <is>
          <t>Jardin botanique (orchidées, fougères géantes, calme)</t>
        </is>
      </c>
      <c r="C7" s="5" t="inlineStr"/>
      <c r="D7" s="13" t="inlineStr">
        <is>
          <t>BRL</t>
        </is>
      </c>
      <c r="E7" s="14" t="n">
        <v>25</v>
      </c>
      <c r="F7" s="15" t="n">
        <v>35</v>
      </c>
      <c r="G7" s="16">
        <f>IF(D7="","",E7/INDEX('Taux de change'!$B$5:$B$8,MATCH(D7,'Taux de change'!$A$5:$A$8,0)))</f>
        <v/>
      </c>
      <c r="H7" s="17">
        <f>IF(D7="","",F7/INDEX('Taux de change'!$B$5:$B$8,MATCH(D7,'Taux de change'!$A$5:$A$8,0)))</f>
        <v/>
      </c>
      <c r="I7" s="4" t="inlineStr">
        <is>
          <t>Espèces / CB</t>
        </is>
      </c>
    </row>
    <row r="8">
      <c r="A8" s="6" t="inlineStr">
        <is>
          <t>12h30–14h00</t>
        </is>
      </c>
      <c r="B8" s="13" t="inlineStr">
        <is>
          <t>Almuerzo : ceviche (influence péruvienne) + agua natural</t>
        </is>
      </c>
      <c r="C8" s="5" t="inlineStr"/>
      <c r="D8" s="13" t="inlineStr">
        <is>
          <t>BRL</t>
        </is>
      </c>
      <c r="E8" s="14" t="n">
        <v>35</v>
      </c>
      <c r="F8" s="15" t="n">
        <v>60</v>
      </c>
      <c r="G8" s="16">
        <f>IF(D8="","",E8/INDEX('Taux de change'!$B$5:$B$8,MATCH(D8,'Taux de change'!$A$5:$A$8,0)))</f>
        <v/>
      </c>
      <c r="H8" s="17">
        <f>IF(D8="","",F8/INDEX('Taux de change'!$B$5:$B$8,MATCH(D8,'Taux de change'!$A$5:$A$8,0)))</f>
        <v/>
      </c>
      <c r="I8" s="4" t="inlineStr">
        <is>
          <t>Espèces / CB</t>
        </is>
      </c>
    </row>
    <row r="9">
      <c r="A9" s="6" t="inlineStr">
        <is>
          <t>14h30–16h30</t>
        </is>
      </c>
      <c r="B9" s="13" t="inlineStr">
        <is>
          <t>Marché d'artisanat final, souvenirs, cadeaux (Saara pour les vraies affaires)</t>
        </is>
      </c>
      <c r="C9" s="5" t="inlineStr"/>
      <c r="D9" s="13" t="inlineStr">
        <is>
          <t>BRL</t>
        </is>
      </c>
      <c r="E9" s="14" t="n">
        <v>0</v>
      </c>
      <c r="F9" s="15" t="n">
        <v>150</v>
      </c>
      <c r="G9" s="16">
        <f>IF(D9="","",E9/INDEX('Taux de change'!$B$5:$B$8,MATCH(D9,'Taux de change'!$A$5:$A$8,0)))</f>
        <v/>
      </c>
      <c r="H9" s="17">
        <f>IF(D9="","",F9/INDEX('Taux de change'!$B$5:$B$8,MATCH(D9,'Taux de change'!$A$5:$A$8,0)))</f>
        <v/>
      </c>
      <c r="I9" s="4" t="inlineStr">
        <is>
          <t>CB / esp.</t>
        </is>
      </c>
    </row>
    <row r="10">
      <c r="A10" s="6" t="inlineStr">
        <is>
          <t>17h00–18h00</t>
        </is>
      </c>
      <c r="B10" s="13" t="inlineStr">
        <is>
          <t>Transfert vers aéroport (45–60 km selon terminal) + enregistrement</t>
        </is>
      </c>
      <c r="C10" s="5" t="inlineStr">
        <is>
          <t>Partir 3–4 h avant le vol.</t>
        </is>
      </c>
      <c r="D10" s="13" t="inlineStr">
        <is>
          <t>BRL</t>
        </is>
      </c>
      <c r="E10" s="14" t="n">
        <v>50</v>
      </c>
      <c r="F10" s="15" t="n">
        <v>100</v>
      </c>
      <c r="G10" s="16">
        <f>IF(D10="","",E10/INDEX('Taux de change'!$B$5:$B$8,MATCH(D10,'Taux de change'!$A$5:$A$8,0)))</f>
        <v/>
      </c>
      <c r="H10" s="17">
        <f>IF(D10="","",F10/INDEX('Taux de change'!$B$5:$B$8,MATCH(D10,'Taux de change'!$A$5:$A$8,0)))</f>
        <v/>
      </c>
      <c r="I10" s="4" t="inlineStr">
        <is>
          <t>CB (Uber)</t>
        </is>
      </c>
    </row>
    <row r="11">
      <c r="A11" s="6" t="inlineStr">
        <is>
          <t>18h00–19h00</t>
        </is>
      </c>
      <c r="B11" s="13" t="inlineStr">
        <is>
          <t>Tasa de embarque + passage sécurité + zone d'embarquement</t>
        </is>
      </c>
      <c r="C11" s="5" t="inlineStr"/>
      <c r="D11" s="13" t="inlineStr">
        <is>
          <t>BRL</t>
        </is>
      </c>
      <c r="E11" s="14" t="n">
        <v>30</v>
      </c>
      <c r="F11" s="15" t="n">
        <v>30</v>
      </c>
      <c r="G11" s="16">
        <f>IF(D11="","",E11/INDEX('Taux de change'!$B$5:$B$8,MATCH(D11,'Taux de change'!$A$5:$A$8,0)))</f>
        <v/>
      </c>
      <c r="H11" s="17">
        <f>IF(D11="","",F11/INDEX('Taux de change'!$B$5:$B$8,MATCH(D11,'Taux de change'!$A$5:$A$8,0)))</f>
        <v/>
      </c>
      <c r="I11" s="4" t="inlineStr">
        <is>
          <t>Espèces</t>
        </is>
      </c>
    </row>
    <row r="12">
      <c r="A12" s="6" t="inlineStr">
        <is>
          <t>19h00–19h30</t>
        </is>
      </c>
      <c r="B12" s="13" t="inlineStr">
        <is>
          <t>Repas final + derniers achats en zone d'embarquement</t>
        </is>
      </c>
      <c r="C12" s="5" t="inlineStr"/>
      <c r="D12" s="13" t="inlineStr">
        <is>
          <t>BRL</t>
        </is>
      </c>
      <c r="E12" s="14" t="n">
        <v>30</v>
      </c>
      <c r="F12" s="15" t="n">
        <v>60</v>
      </c>
      <c r="G12" s="16">
        <f>IF(D12="","",E12/INDEX('Taux de change'!$B$5:$B$8,MATCH(D12,'Taux de change'!$A$5:$A$8,0)))</f>
        <v/>
      </c>
      <c r="H12" s="17">
        <f>IF(D12="","",F12/INDEX('Taux de change'!$B$5:$B$8,MATCH(D12,'Taux de change'!$A$5:$A$8,0)))</f>
        <v/>
      </c>
      <c r="I12" s="4" t="inlineStr">
        <is>
          <t>Espèces</t>
        </is>
      </c>
    </row>
    <row r="13">
      <c r="A13" s="19" t="n"/>
      <c r="B13" s="20" t="inlineStr">
        <is>
          <t>TOTAL JOUR</t>
        </is>
      </c>
      <c r="C13" s="19" t="n"/>
      <c r="D13" s="19" t="n"/>
      <c r="E13" s="19" t="n"/>
      <c r="F13" s="19" t="n"/>
      <c r="G13" s="21">
        <f>SUM(G6:G12)</f>
        <v/>
      </c>
      <c r="H13" s="21">
        <f>SUM(H6:H12)</f>
        <v/>
      </c>
      <c r="I13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2026-09-11T13:58:29Z</dcterms:created>
  <dcterms:modified xsi:type="dcterms:W3CDTF">2026-09-11T13:58:29Z</dcterms:modified>
</cp:coreProperties>
</file>