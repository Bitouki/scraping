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Taux de change" sheetId="2" state="visible" r:id="rId2"/>
    <sheet name="Bus longue distance" sheetId="3" state="visible" r:id="rId3"/>
    <sheet name="J01 - Lima" sheetId="4" state="visible" r:id="rId4"/>
    <sheet name="J02 - Puno" sheetId="5" state="visible" r:id="rId5"/>
    <sheet name="J03 - Puno-Copacabana" sheetId="6" state="visible" r:id="rId6"/>
    <sheet name="J04 - Isla del Sol" sheetId="7" state="visible" r:id="rId7"/>
    <sheet name="J05 - Copacabana-La Paz" sheetId="8" state="visible" r:id="rId8"/>
    <sheet name="J06 - La Paz 1" sheetId="9" state="visible" r:id="rId9"/>
    <sheet name="J07 - La Paz 2" sheetId="10" state="visible" r:id="rId10"/>
    <sheet name="J08 - Santa Cruz" sheetId="11" state="visible" r:id="rId11"/>
    <sheet name="J09 - Chaco-Asuncion" sheetId="12" state="visible" r:id="rId12"/>
    <sheet name="J10 - Asuncion 1" sheetId="13" state="visible" r:id="rId13"/>
    <sheet name="J11 - Asuncion 2" sheetId="14" state="visible" r:id="rId14"/>
    <sheet name="J12 - Asuncion-Sao Paulo" sheetId="15" state="visible" r:id="rId15"/>
    <sheet name="J13 - Sao Paulo 1" sheetId="16" state="visible" r:id="rId16"/>
    <sheet name="J14 - Sao Paulo 2" sheetId="17" state="visible" r:id="rId17"/>
    <sheet name="J15 - Rio 1" sheetId="18" state="visible" r:id="rId18"/>
    <sheet name="J16 - Rio 2" sheetId="19" state="visible" r:id="rId19"/>
    <sheet name="J17 - Rio 3" sheetId="20" state="visible" r:id="rId20"/>
    <sheet name="Paiements par pays" sheetId="21" state="visible" r:id="rId21"/>
    <sheet name="Frontieres" sheetId="22" state="visible" r:id="rId22"/>
    <sheet name="Hors planning" sheetId="23" state="visible" r:id="rId23"/>
    <sheet name="A savoir" sheetId="24" state="visible" r:id="rId24"/>
  </sheets>
  <definedNames/>
  <calcPr calcId="124519" fullCalcOnLoad="1"/>
</workbook>
</file>

<file path=xl/styles.xml><?xml version="1.0" encoding="utf-8"?>
<styleSheet xmlns="http://schemas.openxmlformats.org/spreadsheetml/2006/main">
  <numFmts count="5">
    <numFmt numFmtId="164" formatCode="#,##0.000"/>
    <numFmt numFmtId="165" formatCode="#,##0.00;;&quot;—&quot;"/>
    <numFmt numFmtId="166" formatCode="$#,##0.00;;&quot;—&quot;"/>
    <numFmt numFmtId="167" formatCode="#,##0;;&quot;—&quot;"/>
    <numFmt numFmtId="168" formatCode="#,##0&quot; €&quot;"/>
  </numFmts>
  <fonts count="12">
    <font>
      <name val="Calibri"/>
      <family val="2"/>
      <color theme="1"/>
      <sz val="11"/>
      <scheme val="minor"/>
    </font>
    <font>
      <name val="Arial"/>
      <b val="1"/>
      <color rgb="000F5C4A"/>
      <sz val="14"/>
    </font>
    <font>
      <name val="Arial"/>
      <color rgb="003D5163"/>
      <sz val="10"/>
    </font>
    <font>
      <name val="Arial"/>
      <b val="1"/>
      <color rgb="00FFFFFF"/>
      <sz val="10"/>
    </font>
    <font>
      <name val="Arial"/>
      <b val="1"/>
      <sz val="10"/>
    </font>
    <font>
      <name val="Arial"/>
      <color rgb="000000FF"/>
      <sz val="10"/>
    </font>
    <font>
      <name val="Arial"/>
      <sz val="10"/>
    </font>
    <font>
      <name val="Arial"/>
      <color rgb="005A6B7C"/>
      <sz val="9"/>
    </font>
    <font>
      <name val="Arial"/>
      <color rgb="000F5C4A"/>
      <sz val="10"/>
    </font>
    <font>
      <name val="Arial"/>
      <b val="1"/>
      <color rgb="000A7A52"/>
      <sz val="9"/>
    </font>
    <font>
      <name val="Arial"/>
      <color rgb="00008000"/>
      <sz val="10"/>
    </font>
    <font>
      <name val="Arial"/>
      <b val="1"/>
      <color rgb="00FFFFFF"/>
      <sz val="11"/>
    </font>
  </fonts>
  <fills count="4">
    <fill>
      <patternFill/>
    </fill>
    <fill>
      <patternFill patternType="gray125"/>
    </fill>
    <fill>
      <patternFill patternType="solid">
        <fgColor rgb="000F5C4A"/>
      </patternFill>
    </fill>
    <fill>
      <patternFill patternType="solid">
        <fgColor rgb="00F7F9FB"/>
      </patternFill>
    </fill>
  </fills>
  <borders count="2">
    <border>
      <left/>
      <right/>
      <top/>
      <bottom/>
      <diagonal/>
    </border>
    <border>
      <bottom style="thin">
        <color rgb="00D6E0E8"/>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7" fillId="0"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vertical="top" wrapText="1"/>
    </xf>
    <xf numFmtId="0" fontId="6" fillId="3" borderId="1" applyAlignment="1" pivotButton="0" quotePrefix="0" xfId="0">
      <alignment vertical="top" wrapText="1"/>
    </xf>
    <xf numFmtId="0" fontId="7" fillId="3" borderId="1" applyAlignment="1" pivotButton="0" quotePrefix="0" xfId="0">
      <alignment vertical="top" wrapText="1"/>
    </xf>
    <xf numFmtId="166" fontId="10" fillId="3" borderId="1" applyAlignment="1" pivotButton="0" quotePrefix="0" xfId="0">
      <alignment horizontal="right" vertical="top"/>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166" fontId="10" fillId="0" borderId="1" applyAlignment="1" pivotButton="0" quotePrefix="0" xfId="0">
      <alignment horizontal="right" vertical="top"/>
    </xf>
    <xf numFmtId="0" fontId="3" fillId="2" borderId="0" pivotButton="0" quotePrefix="0" xfId="0"/>
    <xf numFmtId="166" fontId="3" fillId="2" borderId="0" applyAlignment="1" pivotButton="0" quotePrefix="0" xfId="0">
      <alignment horizontal="right" vertical="top"/>
    </xf>
    <xf numFmtId="0" fontId="4" fillId="0" borderId="0" pivotButton="0" quotePrefix="0" xfId="0"/>
    <xf numFmtId="0" fontId="6" fillId="0" borderId="0" pivotButton="0" quotePrefix="0" xfId="0"/>
    <xf numFmtId="166" fontId="4" fillId="0" borderId="0" applyAlignment="1" pivotButton="0" quotePrefix="0" xfId="0">
      <alignment horizontal="right" vertical="top"/>
    </xf>
    <xf numFmtId="0" fontId="4" fillId="0" borderId="1" pivotButton="0" quotePrefix="0" xfId="0"/>
    <xf numFmtId="164" fontId="5" fillId="0" borderId="1" pivotButton="0" quotePrefix="0" xfId="0"/>
    <xf numFmtId="0" fontId="6" fillId="0" borderId="1" pivotButton="0" quotePrefix="0" xfId="0"/>
    <xf numFmtId="4" fontId="5" fillId="0" borderId="1" pivotButton="0" quotePrefix="0" xfId="0"/>
    <xf numFmtId="0" fontId="6" fillId="3" borderId="1" applyAlignment="1" pivotButton="0" quotePrefix="0" xfId="0">
      <alignment horizontal="center" vertical="top"/>
    </xf>
    <xf numFmtId="165" fontId="6" fillId="3" borderId="1" applyAlignment="1" pivotButton="0" quotePrefix="0" xfId="0">
      <alignment horizontal="right" vertical="top"/>
    </xf>
    <xf numFmtId="166" fontId="8" fillId="3" borderId="1" applyAlignment="1" pivotButton="0" quotePrefix="0" xfId="0">
      <alignment horizontal="right" vertical="top"/>
    </xf>
    <xf numFmtId="0" fontId="6" fillId="0" borderId="1" applyAlignment="1" pivotButton="0" quotePrefix="0" xfId="0">
      <alignment horizontal="center" vertical="top"/>
    </xf>
    <xf numFmtId="165" fontId="6" fillId="0" borderId="1" applyAlignment="1" pivotButton="0" quotePrefix="0" xfId="0">
      <alignment horizontal="right" vertical="top"/>
    </xf>
    <xf numFmtId="166" fontId="8" fillId="0" borderId="1" applyAlignment="1" pivotButton="0" quotePrefix="0" xfId="0">
      <alignment horizontal="right" vertical="top"/>
    </xf>
    <xf numFmtId="167" fontId="6" fillId="0" borderId="1" applyAlignment="1" pivotButton="0" quotePrefix="0" xfId="0">
      <alignment horizontal="right" vertical="top"/>
    </xf>
    <xf numFmtId="0" fontId="3" fillId="2" borderId="0" applyAlignment="1" pivotButton="0" quotePrefix="0" xfId="0">
      <alignment horizontal="right" vertical="center" wrapText="1"/>
    </xf>
    <xf numFmtId="0" fontId="0" fillId="3" borderId="1" applyAlignment="1" pivotButton="0" quotePrefix="0" xfId="0">
      <alignment horizontal="center" vertical="top"/>
    </xf>
    <xf numFmtId="0" fontId="0" fillId="3" borderId="1" applyAlignment="1" pivotButton="0" quotePrefix="0" xfId="0">
      <alignment horizontal="right" vertical="top"/>
    </xf>
    <xf numFmtId="165" fontId="4" fillId="0" borderId="0" applyAlignment="1" pivotButton="0" quotePrefix="0" xfId="0">
      <alignment horizontal="right" vertical="top"/>
    </xf>
    <xf numFmtId="0" fontId="0" fillId="0" borderId="1" applyAlignment="1" pivotButton="0" quotePrefix="0" xfId="0">
      <alignment horizontal="center" vertical="top"/>
    </xf>
    <xf numFmtId="0" fontId="0" fillId="0" borderId="1" applyAlignment="1" pivotButton="0" quotePrefix="0" xfId="0">
      <alignment horizontal="right" vertical="top"/>
    </xf>
    <xf numFmtId="0" fontId="9" fillId="3" borderId="1" applyAlignment="1" pivotButton="0" quotePrefix="0" xfId="0">
      <alignment vertical="top" wrapText="1"/>
    </xf>
    <xf numFmtId="0" fontId="9" fillId="0" borderId="1" applyAlignment="1" pivotButton="0" quotePrefix="0" xfId="0">
      <alignment vertical="top" wrapText="1"/>
    </xf>
    <xf numFmtId="167" fontId="6" fillId="3" borderId="1" applyAlignment="1" pivotButton="0" quotePrefix="0" xfId="0">
      <alignment horizontal="right" vertical="top"/>
    </xf>
    <xf numFmtId="167" fontId="4" fillId="0" borderId="0" applyAlignment="1" pivotButton="0" quotePrefix="0" xfId="0">
      <alignment horizontal="right" vertical="top"/>
    </xf>
    <xf numFmtId="168" fontId="5" fillId="3" borderId="1" applyAlignment="1" pivotButton="0" quotePrefix="0" xfId="0">
      <alignment horizontal="right" vertical="top"/>
    </xf>
    <xf numFmtId="168" fontId="5" fillId="0" borderId="1" applyAlignment="1" pivotButton="0" quotePrefix="0" xfId="0">
      <alignment horizontal="right" vertical="top"/>
    </xf>
    <xf numFmtId="168" fontId="3" fillId="2" borderId="0" applyAlignment="1" pivotButton="0" quotePrefix="0" xfId="0">
      <alignment horizontal="right" vertical="top"/>
    </xf>
    <xf numFmtId="0" fontId="11" fillId="2" borderId="0" pivotButton="0" quotePrefix="0" xfId="0"/>
    <xf numFmtId="0" fontId="0" fillId="2"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showGridLines="0" workbookViewId="0">
      <pane ySplit="5" topLeftCell="A6" activePane="bottomLeft" state="frozen"/>
      <selection pane="bottomLeft" activeCell="A1" sqref="A1"/>
    </sheetView>
  </sheetViews>
  <sheetFormatPr baseColWidth="8" defaultRowHeight="15"/>
  <cols>
    <col width="8" customWidth="1" min="1" max="1"/>
    <col width="28" customWidth="1" min="2" max="2"/>
    <col width="62" customWidth="1" min="3" max="3"/>
    <col width="26" customWidth="1" min="4" max="4"/>
    <col width="16" customWidth="1" min="5" max="5"/>
    <col width="16" customWidth="1" min="6" max="6"/>
  </cols>
  <sheetData>
    <row r="1">
      <c r="A1" s="1" t="inlineStr">
        <is>
          <t>LIMA → RIO DE JANEIRO — 17 jours, 100 % en bus</t>
        </is>
      </c>
    </row>
    <row r="2">
      <c r="A2" s="2" t="inlineStr">
        <is>
          <t>Pérou · Bolivie · Paraguay · Brésil — 5 200 km de route, 5 nuits en bus, 12 nuits en auberge</t>
        </is>
      </c>
    </row>
    <row r="3">
      <c r="A3" s="3" t="inlineStr">
        <is>
          <t>Une feuille par jour (J01 à J17). Coûts en monnaie locale et en dollars US, moyen de paiement indiqué ligne par ligne.</t>
        </is>
      </c>
    </row>
    <row r="5" ht="26" customHeight="1">
      <c r="A5" s="4" t="inlineStr">
        <is>
          <t>Jour</t>
        </is>
      </c>
      <c r="B5" s="4" t="inlineStr">
        <is>
          <t>Étape</t>
        </is>
      </c>
      <c r="C5" s="4" t="inlineStr">
        <is>
          <t>Programme</t>
        </is>
      </c>
      <c r="D5" s="4" t="inlineStr">
        <is>
          <t>Nuit</t>
        </is>
      </c>
      <c r="E5" s="4" t="inlineStr">
        <is>
          <t>Budget USD min</t>
        </is>
      </c>
      <c r="F5" s="4" t="inlineStr">
        <is>
          <t>Budget USD max</t>
        </is>
      </c>
    </row>
    <row r="6">
      <c r="A6" s="5" t="inlineStr">
        <is>
          <t>J1</t>
        </is>
      </c>
      <c r="B6" s="6" t="inlineStr">
        <is>
          <t>LIMA (Pérou)</t>
        </is>
      </c>
      <c r="C6" s="6" t="inlineStr">
        <is>
          <t>Lima — centre historique puis bus de nuit vers Puno</t>
        </is>
      </c>
      <c r="D6" s="7" t="inlineStr">
        <is>
          <t>Bus (Lima → Puno)</t>
        </is>
      </c>
      <c r="E6" s="8">
        <f>'J01 - Lima'!G18</f>
        <v/>
      </c>
      <c r="F6" s="8">
        <f>'J01 - Lima'!H18</f>
        <v/>
      </c>
    </row>
    <row r="7">
      <c r="A7" s="9" t="inlineStr">
        <is>
          <t>J2</t>
        </is>
      </c>
      <c r="B7" s="10" t="inlineStr">
        <is>
          <t>PUNO (Pérou)</t>
        </is>
      </c>
      <c r="C7" s="10" t="inlineStr">
        <is>
          <t>Arrivée sur le lac Titicaca — acclimatation</t>
        </is>
      </c>
      <c r="D7" s="11" t="inlineStr">
        <is>
          <t>Hostal Puno</t>
        </is>
      </c>
      <c r="E7" s="12">
        <f>'J02 - Puno'!G19</f>
        <v/>
      </c>
      <c r="F7" s="12">
        <f>'J02 - Puno'!H19</f>
        <v/>
      </c>
    </row>
    <row r="8">
      <c r="A8" s="5" t="inlineStr">
        <is>
          <t>J3</t>
        </is>
      </c>
      <c r="B8" s="6" t="inlineStr">
        <is>
          <t>PUNO → COPACABANA (Bolivie)</t>
        </is>
      </c>
      <c r="C8" s="6" t="inlineStr">
        <is>
          <t>Passage de frontière à Kasani — côté bolivien du Titicaca</t>
        </is>
      </c>
      <c r="D8" s="7" t="inlineStr">
        <is>
          <t>Hostal Copacabana</t>
        </is>
      </c>
      <c r="E8" s="8">
        <f>'J03 - Puno-Copacabana'!G23</f>
        <v/>
      </c>
      <c r="F8" s="8">
        <f>'J03 - Puno-Copacabana'!H23</f>
        <v/>
      </c>
    </row>
    <row r="9">
      <c r="A9" s="9" t="inlineStr">
        <is>
          <t>J4</t>
        </is>
      </c>
      <c r="B9" s="10" t="inlineStr">
        <is>
          <t>ISLA DEL SOL (Bolivie)</t>
        </is>
      </c>
      <c r="C9" s="10" t="inlineStr">
        <is>
          <t>Journée complète sur l'île du Soleil — berceau inca</t>
        </is>
      </c>
      <c r="D9" s="11" t="inlineStr">
        <is>
          <t>Hostal Copacabana</t>
        </is>
      </c>
      <c r="E9" s="12">
        <f>'J04 - Isla del Sol'!G19</f>
        <v/>
      </c>
      <c r="F9" s="12">
        <f>'J04 - Isla del Sol'!H19</f>
        <v/>
      </c>
    </row>
    <row r="10">
      <c r="A10" s="5" t="inlineStr">
        <is>
          <t>J5</t>
        </is>
      </c>
      <c r="B10" s="6" t="inlineStr">
        <is>
          <t>COPACABANA → LA PAZ</t>
        </is>
      </c>
      <c r="C10" s="6" t="inlineStr">
        <is>
          <t>Détroit de Tiquina et descente sur La Paz</t>
        </is>
      </c>
      <c r="D10" s="7" t="inlineStr">
        <is>
          <t>Hostel La Paz</t>
        </is>
      </c>
      <c r="E10" s="8">
        <f>'J05 - Copacabana-La Paz'!G18</f>
        <v/>
      </c>
      <c r="F10" s="8">
        <f>'J05 - Copacabana-La Paz'!H18</f>
        <v/>
      </c>
    </row>
    <row r="11">
      <c r="A11" s="9" t="inlineStr">
        <is>
          <t>J6</t>
        </is>
      </c>
      <c r="B11" s="10" t="inlineStr">
        <is>
          <t>LA PAZ — jour 1</t>
        </is>
      </c>
      <c r="C11" s="10" t="inlineStr">
        <is>
          <t>Téléphériques, El Alto, marchés et miradors</t>
        </is>
      </c>
      <c r="D11" s="11" t="inlineStr">
        <is>
          <t>Hostel La Paz</t>
        </is>
      </c>
      <c r="E11" s="12">
        <f>'J06 - La Paz 1'!G20</f>
        <v/>
      </c>
      <c r="F11" s="12">
        <f>'J06 - La Paz 1'!H20</f>
        <v/>
      </c>
    </row>
    <row r="12">
      <c r="A12" s="5" t="inlineStr">
        <is>
          <t>J7</t>
        </is>
      </c>
      <c r="B12" s="6" t="inlineStr">
        <is>
          <t>LA PAZ — jour 2</t>
        </is>
      </c>
      <c r="C12" s="6" t="inlineStr">
        <is>
          <t>Route de la Mort à VTT, puis bus de nuit vers Santa Cruz</t>
        </is>
      </c>
      <c r="D12" s="7" t="inlineStr">
        <is>
          <t>Bus (La Paz → Santa Cruz)</t>
        </is>
      </c>
      <c r="E12" s="8">
        <f>'J07 - La Paz 2'!G17</f>
        <v/>
      </c>
      <c r="F12" s="8">
        <f>'J07 - La Paz 2'!H17</f>
        <v/>
      </c>
    </row>
    <row r="13">
      <c r="A13" s="9" t="inlineStr">
        <is>
          <t>J8</t>
        </is>
      </c>
      <c r="B13" s="10" t="inlineStr">
        <is>
          <t>SANTA CRUZ (transit)</t>
        </is>
      </c>
      <c r="C13" s="10" t="inlineStr">
        <is>
          <t>Escale de 6 h puis départ pour le Chaco</t>
        </is>
      </c>
      <c r="D13" s="11" t="inlineStr">
        <is>
          <t>Bus (Santa Cruz → Asunción)</t>
        </is>
      </c>
      <c r="E13" s="12">
        <f>'J08 - Santa Cruz'!G18</f>
        <v/>
      </c>
      <c r="F13" s="12">
        <f>'J08 - Santa Cruz'!H18</f>
        <v/>
      </c>
    </row>
    <row r="14">
      <c r="A14" s="5" t="inlineStr">
        <is>
          <t>J9</t>
        </is>
      </c>
      <c r="B14" s="6" t="inlineStr">
        <is>
          <t>CHACO → ASUNCIÓN (Paraguay)</t>
        </is>
      </c>
      <c r="C14" s="6" t="inlineStr">
        <is>
          <t>Traversée du Chaco et double frontière</t>
        </is>
      </c>
      <c r="D14" s="7" t="inlineStr">
        <is>
          <t>Hostel Asunción</t>
        </is>
      </c>
      <c r="E14" s="8">
        <f>'J09 - Chaco-Asuncion'!G17</f>
        <v/>
      </c>
      <c r="F14" s="8">
        <f>'J09 - Chaco-Asuncion'!H17</f>
        <v/>
      </c>
    </row>
    <row r="15">
      <c r="A15" s="9" t="inlineStr">
        <is>
          <t>J10</t>
        </is>
      </c>
      <c r="B15" s="10" t="inlineStr">
        <is>
          <t>ASUNCIÓN — jour 1</t>
        </is>
      </c>
      <c r="C15" s="10" t="inlineStr">
        <is>
          <t>Centre historique, Mercado 4 et Costanera</t>
        </is>
      </c>
      <c r="D15" s="11" t="inlineStr">
        <is>
          <t>Hostel Asunción</t>
        </is>
      </c>
      <c r="E15" s="12">
        <f>'J10 - Asuncion 1'!G20</f>
        <v/>
      </c>
      <c r="F15" s="12">
        <f>'J10 - Asuncion 1'!H20</f>
        <v/>
      </c>
    </row>
    <row r="16">
      <c r="A16" s="5" t="inlineStr">
        <is>
          <t>J11</t>
        </is>
      </c>
      <c r="B16" s="6" t="inlineStr">
        <is>
          <t>ASUNCIÓN — jour 2</t>
        </is>
      </c>
      <c r="C16" s="6" t="inlineStr">
        <is>
          <t>Lac Ypacaraí (Areguá) et préparation du grand bus</t>
        </is>
      </c>
      <c r="D16" s="7" t="inlineStr">
        <is>
          <t>Hostel Asunción</t>
        </is>
      </c>
      <c r="E16" s="8">
        <f>'J11 - Asuncion 2'!G17</f>
        <v/>
      </c>
      <c r="F16" s="8">
        <f>'J11 - Asuncion 2'!H17</f>
        <v/>
      </c>
    </row>
    <row r="17">
      <c r="A17" s="9" t="inlineStr">
        <is>
          <t>J12</t>
        </is>
      </c>
      <c r="B17" s="10" t="inlineStr">
        <is>
          <t>ASUNCIÓN → SÃO PAULO</t>
        </is>
      </c>
      <c r="C17" s="10" t="inlineStr">
        <is>
          <t>21 h 30 de bus et passage au Brésil par le Pont de l'Amitié</t>
        </is>
      </c>
      <c r="D17" s="11" t="inlineStr">
        <is>
          <t>Bus (Asunción → São Paulo)</t>
        </is>
      </c>
      <c r="E17" s="12">
        <f>'J12 - Asuncion-Sao Paulo'!G16</f>
        <v/>
      </c>
      <c r="F17" s="12">
        <f>'J12 - Asuncion-Sao Paulo'!H16</f>
        <v/>
      </c>
    </row>
    <row r="18">
      <c r="A18" s="5" t="inlineStr">
        <is>
          <t>J13</t>
        </is>
      </c>
      <c r="B18" s="6" t="inlineStr">
        <is>
          <t>SÃO PAULO — jour 1</t>
        </is>
      </c>
      <c r="C18" s="6" t="inlineStr">
        <is>
          <t>Arrivée à l'aube, Avenida Paulista et centre</t>
        </is>
      </c>
      <c r="D18" s="7" t="inlineStr">
        <is>
          <t>Auberge São Paulo</t>
        </is>
      </c>
      <c r="E18" s="8">
        <f>'J13 - Sao Paulo 1'!G19</f>
        <v/>
      </c>
      <c r="F18" s="8">
        <f>'J13 - Sao Paulo 1'!H19</f>
        <v/>
      </c>
    </row>
    <row r="19">
      <c r="A19" s="9" t="inlineStr">
        <is>
          <t>J14</t>
        </is>
      </c>
      <c r="B19" s="10" t="inlineStr">
        <is>
          <t>SÃO PAULO — jour 2</t>
        </is>
      </c>
      <c r="C19" s="10" t="inlineStr">
        <is>
          <t>Luz, Mercadão, Ibirapuera, Liberdade — puis bus de nuit</t>
        </is>
      </c>
      <c r="D19" s="11" t="inlineStr">
        <is>
          <t>Bus (São Paulo → Rio)</t>
        </is>
      </c>
      <c r="E19" s="12">
        <f>'J14 - Sao Paulo 2'!G19</f>
        <v/>
      </c>
      <c r="F19" s="12">
        <f>'J14 - Sao Paulo 2'!H19</f>
        <v/>
      </c>
    </row>
    <row r="20">
      <c r="A20" s="5" t="inlineStr">
        <is>
          <t>J15</t>
        </is>
      </c>
      <c r="B20" s="6" t="inlineStr">
        <is>
          <t>RIO DE JANEIRO — jour 1</t>
        </is>
      </c>
      <c r="C20" s="6" t="inlineStr">
        <is>
          <t>CHRIST RÉDEMPTEUR, Santa Teresa et Lapa</t>
        </is>
      </c>
      <c r="D20" s="7" t="inlineStr">
        <is>
          <t>Auberge Rio</t>
        </is>
      </c>
      <c r="E20" s="8">
        <f>'J15 - Rio 1'!G18</f>
        <v/>
      </c>
      <c r="F20" s="8">
        <f>'J15 - Rio 1'!H18</f>
        <v/>
      </c>
    </row>
    <row r="21">
      <c r="A21" s="9" t="inlineStr">
        <is>
          <t>J16</t>
        </is>
      </c>
      <c r="B21" s="10" t="inlineStr">
        <is>
          <t>RIO DE JANEIRO — jour 2</t>
        </is>
      </c>
      <c r="C21" s="10" t="inlineStr">
        <is>
          <t>Pain de Sucre, Copacabana et Ipanema</t>
        </is>
      </c>
      <c r="D21" s="11" t="inlineStr">
        <is>
          <t>Auberge Rio</t>
        </is>
      </c>
      <c r="E21" s="12">
        <f>'J16 - Rio 2'!G17</f>
        <v/>
      </c>
      <c r="F21" s="12">
        <f>'J16 - Rio 2'!H17</f>
        <v/>
      </c>
    </row>
    <row r="22">
      <c r="A22" s="5" t="inlineStr">
        <is>
          <t>J17</t>
        </is>
      </c>
      <c r="B22" s="6" t="inlineStr">
        <is>
          <t>RIO DE JANEIRO — jour 3</t>
        </is>
      </c>
      <c r="C22" s="6" t="inlineStr">
        <is>
          <t>Jardin botanique, Parque Lage, Maracanã et Porto Maravilha</t>
        </is>
      </c>
      <c r="D22" s="7" t="inlineStr">
        <is>
          <t>Auberge Rio</t>
        </is>
      </c>
      <c r="E22" s="8">
        <f>'J17 - Rio 3'!G16</f>
        <v/>
      </c>
      <c r="F22" s="8">
        <f>'J17 - Rio 3'!H16</f>
        <v/>
      </c>
    </row>
    <row r="24">
      <c r="A24" s="13" t="inlineStr">
        <is>
          <t>TOTAL SUR PLACE (J1 → J17)</t>
        </is>
      </c>
      <c r="B24" s="13" t="n"/>
      <c r="C24" s="13" t="n"/>
      <c r="D24" s="13" t="n"/>
      <c r="E24" s="14">
        <f>SUM(E6:E22)</f>
        <v/>
      </c>
      <c r="F24" s="14">
        <f>SUM(F6:F22)</f>
        <v/>
      </c>
    </row>
    <row r="26">
      <c r="A26" s="15" t="inlineStr">
        <is>
          <t>Sous-totaux par pays (USD)</t>
        </is>
      </c>
    </row>
    <row r="27">
      <c r="B27" s="16" t="inlineStr">
        <is>
          <t>Pérou</t>
        </is>
      </c>
      <c r="C27" s="3" t="inlineStr">
        <is>
          <t>J1 – J3</t>
        </is>
      </c>
      <c r="E27" s="17">
        <f>SUMIF('J01 - Lima'!$D$6:$D$16,"PEN",'J01 - Lima'!G6:G16)+SUMIF('J02 - Puno'!$D$6:$D$17,"PEN",'J02 - Puno'!G6:G17)+SUMIF('J03 - Puno-Copacabana'!$D$6:$D$21,"PEN",'J03 - Puno-Copacabana'!G6:G21)</f>
        <v/>
      </c>
      <c r="F27" s="17">
        <f>SUMIF('J01 - Lima'!$D$6:$D$16,"PEN",'J01 - Lima'!H6:H16)+SUMIF('J02 - Puno'!$D$6:$D$17,"PEN",'J02 - Puno'!H6:H17)+SUMIF('J03 - Puno-Copacabana'!$D$6:$D$21,"PEN",'J03 - Puno-Copacabana'!H6:H21)</f>
        <v/>
      </c>
    </row>
    <row r="28">
      <c r="B28" s="16" t="inlineStr">
        <is>
          <t>Bolivie</t>
        </is>
      </c>
      <c r="C28" s="3" t="inlineStr">
        <is>
          <t>J3 – J9</t>
        </is>
      </c>
      <c r="E28" s="17">
        <f>SUMIF('J03 - Puno-Copacabana'!$D$6:$D$21,"BOB",'J03 - Puno-Copacabana'!G6:G21)+SUMIF('J04 - Isla del Sol'!$D$6:$D$17,"BOB",'J04 - Isla del Sol'!G6:G17)+SUMIF('J05 - Copacabana-La Paz'!$D$6:$D$16,"BOB",'J05 - Copacabana-La Paz'!G6:G16)+SUMIF('J06 - La Paz 1'!$D$6:$D$18,"BOB",'J06 - La Paz 1'!G6:G18)+SUMIF('J07 - La Paz 2'!$D$6:$D$15,"BOB",'J07 - La Paz 2'!G6:G15)+SUMIF('J08 - Santa Cruz'!$D$6:$D$16,"BOB",'J08 - Santa Cruz'!G6:G16)+SUMIF('J09 - Chaco-Asuncion'!$D$6:$D$15,"BOB",'J09 - Chaco-Asuncion'!G6:G15)</f>
        <v/>
      </c>
      <c r="F28" s="17">
        <f>SUMIF('J03 - Puno-Copacabana'!$D$6:$D$21,"BOB",'J03 - Puno-Copacabana'!H6:H21)+SUMIF('J04 - Isla del Sol'!$D$6:$D$17,"BOB",'J04 - Isla del Sol'!H6:H17)+SUMIF('J05 - Copacabana-La Paz'!$D$6:$D$16,"BOB",'J05 - Copacabana-La Paz'!H6:H16)+SUMIF('J06 - La Paz 1'!$D$6:$D$18,"BOB",'J06 - La Paz 1'!H6:H18)+SUMIF('J07 - La Paz 2'!$D$6:$D$15,"BOB",'J07 - La Paz 2'!H6:H15)+SUMIF('J08 - Santa Cruz'!$D$6:$D$16,"BOB",'J08 - Santa Cruz'!H6:H16)+SUMIF('J09 - Chaco-Asuncion'!$D$6:$D$15,"BOB",'J09 - Chaco-Asuncion'!H6:H15)</f>
        <v/>
      </c>
    </row>
    <row r="29">
      <c r="B29" s="16" t="inlineStr">
        <is>
          <t>Paraguay</t>
        </is>
      </c>
      <c r="C29" s="3" t="inlineStr">
        <is>
          <t>J9 – J12</t>
        </is>
      </c>
      <c r="E29" s="17">
        <f>SUMIF('J09 - Chaco-Asuncion'!$D$6:$D$15,"PYG",'J09 - Chaco-Asuncion'!G6:G15)+SUMIF('J10 - Asuncion 1'!$D$6:$D$18,"PYG",'J10 - Asuncion 1'!G6:G18)+SUMIF('J11 - Asuncion 2'!$D$6:$D$15,"PYG",'J11 - Asuncion 2'!G6:G15)+SUMIF('J12 - Asuncion-Sao Paulo'!$D$6:$D$14,"PYG",'J12 - Asuncion-Sao Paulo'!G6:G14)</f>
        <v/>
      </c>
      <c r="F29" s="17">
        <f>SUMIF('J09 - Chaco-Asuncion'!$D$6:$D$15,"PYG",'J09 - Chaco-Asuncion'!H6:H15)+SUMIF('J10 - Asuncion 1'!$D$6:$D$18,"PYG",'J10 - Asuncion 1'!H6:H18)+SUMIF('J11 - Asuncion 2'!$D$6:$D$15,"PYG",'J11 - Asuncion 2'!H6:H15)+SUMIF('J12 - Asuncion-Sao Paulo'!$D$6:$D$14,"PYG",'J12 - Asuncion-Sao Paulo'!H6:H14)</f>
        <v/>
      </c>
    </row>
    <row r="30">
      <c r="B30" s="16" t="inlineStr">
        <is>
          <t>Brésil</t>
        </is>
      </c>
      <c r="C30" s="3" t="inlineStr">
        <is>
          <t>J12 – J17</t>
        </is>
      </c>
      <c r="E30" s="17">
        <f>SUMIF('J12 - Asuncion-Sao Paulo'!$D$6:$D$14,"BRL",'J12 - Asuncion-Sao Paulo'!G6:G14)+SUMIF('J13 - Sao Paulo 1'!$D$6:$D$17,"BRL",'J13 - Sao Paulo 1'!G6:G17)+SUMIF('J14 - Sao Paulo 2'!$D$6:$D$17,"BRL",'J14 - Sao Paulo 2'!G6:G17)+SUMIF('J15 - Rio 1'!$D$6:$D$16,"BRL",'J15 - Rio 1'!G6:G16)+SUMIF('J16 - Rio 2'!$D$6:$D$15,"BRL",'J16 - Rio 2'!G6:G15)+SUMIF('J17 - Rio 3'!$D$6:$D$14,"BRL",'J17 - Rio 3'!G6:G14)</f>
        <v/>
      </c>
      <c r="F30" s="17">
        <f>SUMIF('J12 - Asuncion-Sao Paulo'!$D$6:$D$14,"BRL",'J12 - Asuncion-Sao Paulo'!H6:H14)+SUMIF('J13 - Sao Paulo 1'!$D$6:$D$17,"BRL",'J13 - Sao Paulo 1'!H6:H17)+SUMIF('J14 - Sao Paulo 2'!$D$6:$D$17,"BRL",'J14 - Sao Paulo 2'!H6:H17)+SUMIF('J15 - Rio 1'!$D$6:$D$16,"BRL",'J15 - Rio 1'!H6:H16)+SUMIF('J16 - Rio 2'!$D$6:$D$15,"BRL",'J16 - Rio 2'!H6:H15)+SUMIF('J17 - Rio 3'!$D$6:$D$14,"BRL",'J17 - Rio 3'!H6:H14)</f>
        <v/>
      </c>
    </row>
    <row r="32">
      <c r="A32" s="3" t="inlineStr">
        <is>
          <t>Fourchette basse : dortoir, repas de marché, bus publics, alternative économique à la Route de la Mort. Fourchette haute : chambres privées, restaurants, bus touristiques, Route de la Mort en VTT. Hors planning (vaccin, assurance, frais bancaires, réserve) : voir la feuille « Hors planning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12" customWidth="1" min="1" max="1"/>
    <col width="20" customWidth="1" min="2" max="2"/>
    <col width="22" customWidth="1" min="3" max="3"/>
    <col width="78" customWidth="1" min="4" max="4"/>
  </cols>
  <sheetData>
    <row r="1">
      <c r="A1" s="1" t="inlineStr">
        <is>
          <t>Taux de change — cellules d'entrée</t>
        </is>
      </c>
    </row>
    <row r="2">
      <c r="A2" s="2" t="inlineStr">
        <is>
          <t>Relevés le 11/09/2026. Modifiez la colonne B : tout le classeur se recalcule.</t>
        </is>
      </c>
    </row>
    <row r="4" ht="26" customHeight="1">
      <c r="A4" s="4" t="inlineStr">
        <is>
          <t>Devise</t>
        </is>
      </c>
      <c r="B4" s="4" t="inlineStr">
        <is>
          <t>Unités pour 1 USD</t>
        </is>
      </c>
      <c r="C4" s="4" t="inlineStr">
        <is>
          <t>Pays</t>
        </is>
      </c>
      <c r="D4" s="4" t="inlineStr">
        <is>
          <t>Remarque</t>
        </is>
      </c>
    </row>
    <row r="5">
      <c r="A5" s="18" t="inlineStr">
        <is>
          <t>PEN</t>
        </is>
      </c>
      <c r="B5" s="19" t="n">
        <v>3.363</v>
      </c>
      <c r="C5" s="20" t="inlineStr">
        <is>
          <t>Pérou (sol, S/)</t>
        </is>
      </c>
      <c r="D5" s="11" t="inlineStr">
        <is>
          <t>Taux de marché. Retrait au DAB : S/ 18–25 de frais locaux en plus.</t>
        </is>
      </c>
    </row>
    <row r="6">
      <c r="A6" s="18" t="inlineStr">
        <is>
          <t>BOB</t>
        </is>
      </c>
      <c r="B6" s="19" t="n">
        <v>12.04</v>
      </c>
      <c r="C6" s="20" t="inlineStr">
        <is>
          <t>Bolivie (boliviano, Bs)</t>
        </is>
      </c>
      <c r="D6" s="11" t="inlineStr">
        <is>
          <t>Taux officiel BCB. Marché parallèle ≈ Bs 11,75 : l'écart s'est refermé depuis la dévaluation de décembre 2025.</t>
        </is>
      </c>
    </row>
    <row r="7">
      <c r="A7" s="18" t="inlineStr">
        <is>
          <t>PYG</t>
        </is>
      </c>
      <c r="B7" s="21" t="n">
        <v>5921.57</v>
      </c>
      <c r="C7" s="20" t="inlineStr">
        <is>
          <t>Paraguay (guaraní, Gs)</t>
        </is>
      </c>
      <c r="D7" s="11" t="inlineStr">
        <is>
          <t>Monnaie inéchangeable hors du Paraguay : ne gardez rien en sortant.</t>
        </is>
      </c>
    </row>
    <row r="8">
      <c r="A8" s="18" t="inlineStr">
        <is>
          <t>BRL</t>
        </is>
      </c>
      <c r="B8" s="19" t="n">
        <v>5.115</v>
      </c>
      <c r="C8" s="20" t="inlineStr">
        <is>
          <t>Brésil (real, R$)</t>
        </is>
      </c>
      <c r="D8" s="11" t="inlineStr">
        <is>
          <t>Une carte type Revolut/Wise donne un meilleur taux que toutes les casas de câmbio.</t>
        </is>
      </c>
    </row>
    <row r="11">
      <c r="A11" s="3" t="inlineStr">
        <is>
          <t>Légende : le bleu signale une valeur saisie à la main (donc modifiable). Tout le reste du classeur est calculé par formule.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showGridLines="0" workbookViewId="0">
      <pane ySplit="5" topLeftCell="A6" activePane="bottomLeft" state="frozen"/>
      <selection pane="bottomLeft" activeCell="A1" sqref="A1"/>
    </sheetView>
  </sheetViews>
  <sheetFormatPr baseColWidth="8" defaultRowHeight="15"/>
  <cols>
    <col width="8" customWidth="1" min="1" max="1"/>
    <col width="30" customWidth="1" min="2" max="2"/>
    <col width="34" customWidth="1" min="3" max="3"/>
    <col width="12" customWidth="1" min="4" max="4"/>
    <col width="26" customWidth="1" min="5" max="5"/>
    <col width="9" customWidth="1" min="6" max="6"/>
    <col width="15" customWidth="1" min="7" max="7"/>
    <col width="15" customWidth="1" min="8" max="8"/>
    <col width="13" customWidth="1" min="9" max="9"/>
    <col width="13" customWidth="1" min="10" max="10"/>
  </cols>
  <sheetData>
    <row r="1">
      <c r="A1" s="1" t="inlineStr">
        <is>
          <t>Les 7 trajets en bus</t>
        </is>
      </c>
    </row>
    <row r="2">
      <c r="A2" s="2" t="inlineStr">
        <is>
          <t>Colonne vertébrale du voyage : 5 200 km, dont 5 nuits passées à bord.</t>
        </is>
      </c>
    </row>
    <row r="5" ht="26" customHeight="1">
      <c r="A5" s="4" t="inlineStr">
        <is>
          <t>Jour</t>
        </is>
      </c>
      <c r="B5" s="4" t="inlineStr">
        <is>
          <t>Trajet</t>
        </is>
      </c>
      <c r="C5" s="4" t="inlineStr">
        <is>
          <t>Compagnies</t>
        </is>
      </c>
      <c r="D5" s="4" t="inlineStr">
        <is>
          <t>Distance</t>
        </is>
      </c>
      <c r="E5" s="4" t="inlineStr">
        <is>
          <t>Durée</t>
        </is>
      </c>
      <c r="F5" s="4" t="inlineStr">
        <is>
          <t>Devise</t>
        </is>
      </c>
      <c r="G5" s="4" t="inlineStr">
        <is>
          <t>Prix local min</t>
        </is>
      </c>
      <c r="H5" s="4" t="inlineStr">
        <is>
          <t>Prix local max</t>
        </is>
      </c>
      <c r="I5" s="4" t="inlineStr">
        <is>
          <t>Prix USD min</t>
        </is>
      </c>
      <c r="J5" s="4" t="inlineStr">
        <is>
          <t>Prix USD max</t>
        </is>
      </c>
    </row>
    <row r="6">
      <c r="A6" s="5" t="inlineStr">
        <is>
          <t>J1</t>
        </is>
      </c>
      <c r="B6" s="6" t="inlineStr">
        <is>
          <t>Lima → Puno</t>
        </is>
      </c>
      <c r="C6" s="6" t="inlineStr">
        <is>
          <t>Civa Excluciva, Cruz del Sur Suite</t>
        </is>
      </c>
      <c r="D6" s="6" t="inlineStr">
        <is>
          <t>1 300 km</t>
        </is>
      </c>
      <c r="E6" s="6" t="inlineStr">
        <is>
          <t>21 h – 22 h</t>
        </is>
      </c>
      <c r="F6" s="22" t="inlineStr">
        <is>
          <t>PEN</t>
        </is>
      </c>
      <c r="G6" s="23" t="n">
        <v>150</v>
      </c>
      <c r="H6" s="23" t="n">
        <v>230</v>
      </c>
      <c r="I6" s="24">
        <f>G6/INDEX('Taux de change'!$B$5:$B$8,MATCH($F6,'Taux de change'!$A$5:$A$8,0))</f>
        <v/>
      </c>
      <c r="J6" s="24">
        <f>H6/INDEX('Taux de change'!$B$5:$B$8,MATCH($F6,'Taux de change'!$A$5:$A$8,0))</f>
        <v/>
      </c>
    </row>
    <row r="7">
      <c r="A7" s="9" t="inlineStr">
        <is>
          <t>J3</t>
        </is>
      </c>
      <c r="B7" s="10" t="inlineStr">
        <is>
          <t>Puno → Copacabana</t>
        </is>
      </c>
      <c r="C7" s="10" t="inlineStr">
        <is>
          <t>Trans Titicaca, Tour Perú, Trans Zela</t>
        </is>
      </c>
      <c r="D7" s="10" t="inlineStr">
        <is>
          <t>150 km</t>
        </is>
      </c>
      <c r="E7" s="10" t="inlineStr">
        <is>
          <t>3 h 30 – 4 h (frontière incluse)</t>
        </is>
      </c>
      <c r="F7" s="25" t="inlineStr">
        <is>
          <t>PEN</t>
        </is>
      </c>
      <c r="G7" s="26" t="n">
        <v>30</v>
      </c>
      <c r="H7" s="26" t="n">
        <v>45</v>
      </c>
      <c r="I7" s="27">
        <f>G7/INDEX('Taux de change'!$B$5:$B$8,MATCH($F7,'Taux de change'!$A$5:$A$8,0))</f>
        <v/>
      </c>
      <c r="J7" s="27">
        <f>H7/INDEX('Taux de change'!$B$5:$B$8,MATCH($F7,'Taux de change'!$A$5:$A$8,0))</f>
        <v/>
      </c>
    </row>
    <row r="8">
      <c r="A8" s="5" t="inlineStr">
        <is>
          <t>J5</t>
        </is>
      </c>
      <c r="B8" s="6" t="inlineStr">
        <is>
          <t>Copacabana → La Paz</t>
        </is>
      </c>
      <c r="C8" s="6" t="inlineStr">
        <is>
          <t>Manco Kapac (public) / Bolivia Hop (touristique)</t>
        </is>
      </c>
      <c r="D8" s="6" t="inlineStr">
        <is>
          <t>155 km</t>
        </is>
      </c>
      <c r="E8" s="6" t="inlineStr">
        <is>
          <t>3 h 30 – 4 h + barge de Tiquina</t>
        </is>
      </c>
      <c r="F8" s="22" t="inlineStr">
        <is>
          <t>BOB</t>
        </is>
      </c>
      <c r="G8" s="23" t="n">
        <v>30</v>
      </c>
      <c r="H8" s="23" t="n">
        <v>100</v>
      </c>
      <c r="I8" s="24">
        <f>G8/INDEX('Taux de change'!$B$5:$B$8,MATCH($F8,'Taux de change'!$A$5:$A$8,0))</f>
        <v/>
      </c>
      <c r="J8" s="24">
        <f>H8/INDEX('Taux de change'!$B$5:$B$8,MATCH($F8,'Taux de change'!$A$5:$A$8,0))</f>
        <v/>
      </c>
    </row>
    <row r="9">
      <c r="A9" s="9" t="inlineStr">
        <is>
          <t>J7</t>
        </is>
      </c>
      <c r="B9" s="10" t="inlineStr">
        <is>
          <t>La Paz → Santa Cruz</t>
        </is>
      </c>
      <c r="C9" s="10" t="inlineStr">
        <is>
          <t>Trans Copacabana, El Dorado (bus cama)</t>
        </is>
      </c>
      <c r="D9" s="10" t="inlineStr">
        <is>
          <t>851 km</t>
        </is>
      </c>
      <c r="E9" s="10" t="inlineStr">
        <is>
          <t>18 h</t>
        </is>
      </c>
      <c r="F9" s="25" t="inlineStr">
        <is>
          <t>BOB</t>
        </is>
      </c>
      <c r="G9" s="26" t="n">
        <v>232</v>
      </c>
      <c r="H9" s="26" t="n">
        <v>319</v>
      </c>
      <c r="I9" s="27">
        <f>G9/INDEX('Taux de change'!$B$5:$B$8,MATCH($F9,'Taux de change'!$A$5:$A$8,0))</f>
        <v/>
      </c>
      <c r="J9" s="27">
        <f>H9/INDEX('Taux de change'!$B$5:$B$8,MATCH($F9,'Taux de change'!$A$5:$A$8,0))</f>
        <v/>
      </c>
    </row>
    <row r="10">
      <c r="A10" s="5" t="inlineStr">
        <is>
          <t>J8</t>
        </is>
      </c>
      <c r="B10" s="6" t="inlineStr">
        <is>
          <t>Santa Cruz → Asunción</t>
        </is>
      </c>
      <c r="C10" s="6" t="inlineStr">
        <is>
          <t>Stel Turismo, Río Paraguay</t>
        </is>
      </c>
      <c r="D10" s="6" t="inlineStr">
        <is>
          <t>1 324 km</t>
        </is>
      </c>
      <c r="E10" s="6" t="inlineStr">
        <is>
          <t>24 h (Ruta Transchaco)</t>
        </is>
      </c>
      <c r="F10" s="22" t="inlineStr">
        <is>
          <t>BOB</t>
        </is>
      </c>
      <c r="G10" s="23" t="n">
        <v>400</v>
      </c>
      <c r="H10" s="23" t="n">
        <v>520</v>
      </c>
      <c r="I10" s="24">
        <f>G10/INDEX('Taux de change'!$B$5:$B$8,MATCH($F10,'Taux de change'!$A$5:$A$8,0))</f>
        <v/>
      </c>
      <c r="J10" s="24">
        <f>H10/INDEX('Taux de change'!$B$5:$B$8,MATCH($F10,'Taux de change'!$A$5:$A$8,0))</f>
        <v/>
      </c>
    </row>
    <row r="11">
      <c r="A11" s="9" t="inlineStr">
        <is>
          <t>J12</t>
        </is>
      </c>
      <c r="B11" s="10" t="inlineStr">
        <is>
          <t>Asunción → São Paulo</t>
        </is>
      </c>
      <c r="C11" s="10" t="inlineStr">
        <is>
          <t>Expreso Paraguay, NSA, Pluma</t>
        </is>
      </c>
      <c r="D11" s="10" t="inlineStr">
        <is>
          <t>1 130 km</t>
        </is>
      </c>
      <c r="E11" s="10" t="inlineStr">
        <is>
          <t>21 h 26</t>
        </is>
      </c>
      <c r="F11" s="25" t="inlineStr">
        <is>
          <t>PYG</t>
        </is>
      </c>
      <c r="G11" s="28" t="n">
        <v>450000</v>
      </c>
      <c r="H11" s="28" t="n">
        <v>620000</v>
      </c>
      <c r="I11" s="27">
        <f>G11/INDEX('Taux de change'!$B$5:$B$8,MATCH($F11,'Taux de change'!$A$5:$A$8,0))</f>
        <v/>
      </c>
      <c r="J11" s="27">
        <f>H11/INDEX('Taux de change'!$B$5:$B$8,MATCH($F11,'Taux de change'!$A$5:$A$8,0))</f>
        <v/>
      </c>
    </row>
    <row r="12">
      <c r="A12" s="5" t="inlineStr">
        <is>
          <t>J14</t>
        </is>
      </c>
      <c r="B12" s="6" t="inlineStr">
        <is>
          <t>São Paulo → Rio</t>
        </is>
      </c>
      <c r="C12" s="6" t="inlineStr">
        <is>
          <t>Viação 1001, Cometa, Águia Branca</t>
        </is>
      </c>
      <c r="D12" s="6" t="inlineStr">
        <is>
          <t>429 km</t>
        </is>
      </c>
      <c r="E12" s="6" t="inlineStr">
        <is>
          <t>6 h – 6 h 45</t>
        </is>
      </c>
      <c r="F12" s="22" t="inlineStr">
        <is>
          <t>BRL</t>
        </is>
      </c>
      <c r="G12" s="23" t="n">
        <v>100</v>
      </c>
      <c r="H12" s="23" t="n">
        <v>200</v>
      </c>
      <c r="I12" s="24">
        <f>G12/INDEX('Taux de change'!$B$5:$B$8,MATCH($F12,'Taux de change'!$A$5:$A$8,0))</f>
        <v/>
      </c>
      <c r="J12" s="24">
        <f>H12/INDEX('Taux de change'!$B$5:$B$8,MATCH($F12,'Taux de change'!$A$5:$A$8,0))</f>
        <v/>
      </c>
    </row>
    <row r="14">
      <c r="A14" s="13" t="inlineStr">
        <is>
          <t>TOTAL TRANSPORT LONGUE DISTANCE</t>
        </is>
      </c>
      <c r="B14" s="13" t="n"/>
      <c r="C14" s="13" t="n"/>
      <c r="D14" s="13" t="n"/>
      <c r="E14" s="13" t="n"/>
      <c r="F14" s="13" t="n"/>
      <c r="G14" s="13" t="n"/>
      <c r="H14" s="13" t="n"/>
      <c r="I14" s="14">
        <f>SUM(I6:I12)</f>
        <v/>
      </c>
      <c r="J14" s="14">
        <f>SUM(J6:J12)</f>
        <v/>
      </c>
    </row>
    <row r="16">
      <c r="A16" s="3" t="inlineStr">
        <is>
          <t>Le bus Santa Cruz → Asunción ne part que les lundi, mardi, mercredi, vendredi et samedi à 19h00 : calez votre date de départ de Lima pour que le J8 tombe un de ces jours. Achetez-le au guichet du Terminal Bimodal : les agences en ligne facturent le double.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 — LIMA (Pérou)</t>
        </is>
      </c>
    </row>
    <row r="2">
      <c r="A2" s="2" t="inlineStr">
        <is>
          <t>Lima — centre historique puis bus de nuit vers Puno</t>
        </is>
      </c>
    </row>
    <row r="3">
      <c r="A3" s="3" t="inlineStr">
        <is>
          <t>Altitude : 154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07h30–08h15</t>
        </is>
      </c>
      <c r="B6" s="6" t="inlineStr">
        <is>
          <t>Petit-déjeuner : café + pan con chicharrón / jugo surtido (Miraflores)</t>
        </is>
      </c>
      <c r="C6" s="7" t="inlineStr"/>
      <c r="D6" s="22" t="inlineStr">
        <is>
          <t>PEN</t>
        </is>
      </c>
      <c r="E6" s="23" t="n">
        <v>8</v>
      </c>
      <c r="F6" s="23" t="n">
        <v>15</v>
      </c>
      <c r="G6" s="24">
        <f>IF($D6="","",E6/INDEX('Taux de change'!$B$5:$B$8,MATCH($D6,'Taux de change'!$A$5:$A$8,0)))</f>
        <v/>
      </c>
      <c r="H6" s="24">
        <f>IF($D6="","",F6/INDEX('Taux de change'!$B$5:$B$8,MATCH($D6,'Taux de change'!$A$5:$A$8,0)))</f>
        <v/>
      </c>
      <c r="I6" s="7" t="inlineStr">
        <is>
          <t>Espèces</t>
        </is>
      </c>
    </row>
    <row r="7">
      <c r="A7" s="9" t="inlineStr">
        <is>
          <t>08h30–09h00</t>
        </is>
      </c>
      <c r="B7" s="10" t="inlineStr">
        <is>
          <t>Metropolitano Miraflores → Centre (station Jr. de la Unión) + achat de la carte rechargeable</t>
        </is>
      </c>
      <c r="C7" s="11" t="inlineStr">
        <is>
          <t>Carte S/ 5,40 à l'achat + S/ 3,80 le trajet. Pas de CB aux guichets.</t>
        </is>
      </c>
      <c r="D7" s="25" t="inlineStr">
        <is>
          <t>PEN</t>
        </is>
      </c>
      <c r="E7" s="26" t="n">
        <v>6</v>
      </c>
      <c r="F7" s="26" t="n">
        <v>10</v>
      </c>
      <c r="G7" s="27">
        <f>IF($D7="","",E7/INDEX('Taux de change'!$B$5:$B$8,MATCH($D7,'Taux de change'!$A$5:$A$8,0)))</f>
        <v/>
      </c>
      <c r="H7" s="27">
        <f>IF($D7="","",F7/INDEX('Taux de change'!$B$5:$B$8,MATCH($D7,'Taux de change'!$A$5:$A$8,0)))</f>
        <v/>
      </c>
      <c r="I7" s="11" t="inlineStr">
        <is>
          <t>Espèces</t>
        </is>
      </c>
    </row>
    <row r="8">
      <c r="A8" s="5" t="inlineStr">
        <is>
          <t>09h00–10h00</t>
        </is>
      </c>
      <c r="B8" s="6" t="inlineStr">
        <is>
          <t>Plaza Mayor + Cathédrale de Lima (nef, crypte, musée d'art religieux)</t>
        </is>
      </c>
      <c r="C8" s="7" t="inlineStr"/>
      <c r="D8" s="22" t="inlineStr">
        <is>
          <t>PEN</t>
        </is>
      </c>
      <c r="E8" s="23" t="n">
        <v>30</v>
      </c>
      <c r="F8" s="23" t="n">
        <v>30</v>
      </c>
      <c r="G8" s="24">
        <f>IF($D8="","",E8/INDEX('Taux de change'!$B$5:$B$8,MATCH($D8,'Taux de change'!$A$5:$A$8,0)))</f>
        <v/>
      </c>
      <c r="H8" s="24">
        <f>IF($D8="","",F8/INDEX('Taux de change'!$B$5:$B$8,MATCH($D8,'Taux de change'!$A$5:$A$8,0)))</f>
        <v/>
      </c>
      <c r="I8" s="7" t="inlineStr">
        <is>
          <t>CB / esp.</t>
        </is>
      </c>
    </row>
    <row r="9">
      <c r="A9" s="9" t="inlineStr">
        <is>
          <t>10h00–11h30</t>
        </is>
      </c>
      <c r="B9" s="10" t="inlineStr">
        <is>
          <t>Couvent San Francisco + catacombes (visite guidée obligatoire, 45 min)</t>
        </is>
      </c>
      <c r="C9" s="11" t="inlineStr"/>
      <c r="D9" s="25" t="inlineStr">
        <is>
          <t>PEN</t>
        </is>
      </c>
      <c r="E9" s="26" t="n">
        <v>20</v>
      </c>
      <c r="F9" s="26" t="n">
        <v>25</v>
      </c>
      <c r="G9" s="27">
        <f>IF($D9="","",E9/INDEX('Taux de change'!$B$5:$B$8,MATCH($D9,'Taux de change'!$A$5:$A$8,0)))</f>
        <v/>
      </c>
      <c r="H9" s="27">
        <f>IF($D9="","",F9/INDEX('Taux de change'!$B$5:$B$8,MATCH($D9,'Taux de change'!$A$5:$A$8,0)))</f>
        <v/>
      </c>
      <c r="I9" s="11" t="inlineStr">
        <is>
          <t>CB / esp.</t>
        </is>
      </c>
    </row>
    <row r="10">
      <c r="A10" s="5" t="inlineStr">
        <is>
          <t>11h30–12h30</t>
        </is>
      </c>
      <c r="B10" s="6" t="inlineStr">
        <is>
          <t>Jr. de la Unión, Plaza San Martín, Casa de Aliaga (extérieur), Mercado Central</t>
        </is>
      </c>
      <c r="C10" s="7" t="inlineStr"/>
      <c r="D10" s="30" t="n"/>
      <c r="E10" s="31" t="n"/>
      <c r="F10" s="31" t="n"/>
      <c r="G10" s="31" t="n"/>
      <c r="H10" s="31" t="n"/>
      <c r="I10" s="7" t="inlineStr">
        <is>
          <t>—</t>
        </is>
      </c>
    </row>
    <row r="11">
      <c r="A11" s="9" t="inlineStr">
        <is>
          <t>12h30–13h30</t>
        </is>
      </c>
      <c r="B11" s="10" t="inlineStr">
        <is>
          <t>Almuerzo « menú del día » : entrée + plat + boisson (hors zone touristique)</t>
        </is>
      </c>
      <c r="C11" s="11" t="inlineStr"/>
      <c r="D11" s="25" t="inlineStr">
        <is>
          <t>PEN</t>
        </is>
      </c>
      <c r="E11" s="26" t="n">
        <v>15</v>
      </c>
      <c r="F11" s="26" t="n">
        <v>25</v>
      </c>
      <c r="G11" s="27">
        <f>IF($D11="","",E11/INDEX('Taux de change'!$B$5:$B$8,MATCH($D11,'Taux de change'!$A$5:$A$8,0)))</f>
        <v/>
      </c>
      <c r="H11" s="27">
        <f>IF($D11="","",F11/INDEX('Taux de change'!$B$5:$B$8,MATCH($D11,'Taux de change'!$A$5:$A$8,0)))</f>
        <v/>
      </c>
      <c r="I11" s="11" t="inlineStr">
        <is>
          <t>Espèces</t>
        </is>
      </c>
    </row>
    <row r="12">
      <c r="A12" s="5" t="inlineStr">
        <is>
          <t>13h30–14h30</t>
        </is>
      </c>
      <c r="B12" s="6" t="inlineStr">
        <is>
          <t>Uber / Cabify Centre → Terrapuerto Excluciva, Av. Javier Prado Este 1155 (La Victoria)</t>
        </is>
      </c>
      <c r="C12" s="7" t="inlineStr">
        <is>
          <t>Ne pas héler un taxi dans la rue à Lima. Uber, Cabify ou InDriver uniquement.</t>
        </is>
      </c>
      <c r="D12" s="22" t="inlineStr">
        <is>
          <t>PEN</t>
        </is>
      </c>
      <c r="E12" s="23" t="n">
        <v>25</v>
      </c>
      <c r="F12" s="23" t="n">
        <v>40</v>
      </c>
      <c r="G12" s="24">
        <f>IF($D12="","",E12/INDEX('Taux de change'!$B$5:$B$8,MATCH($D12,'Taux de change'!$A$5:$A$8,0)))</f>
        <v/>
      </c>
      <c r="H12" s="24">
        <f>IF($D12="","",F12/INDEX('Taux de change'!$B$5:$B$8,MATCH($D12,'Taux de change'!$A$5:$A$8,0)))</f>
        <v/>
      </c>
      <c r="I12" s="7" t="inlineStr">
        <is>
          <t>CB (in-app)</t>
        </is>
      </c>
    </row>
    <row r="13">
      <c r="A13" s="9" t="inlineStr">
        <is>
          <t>14h30–15h20</t>
        </is>
      </c>
      <c r="B13" s="10" t="inlineStr">
        <is>
          <t>Enregistrement du sac en soute + tasa de embarque</t>
        </is>
      </c>
      <c r="C13" s="11" t="inlineStr"/>
      <c r="D13" s="25" t="inlineStr">
        <is>
          <t>PEN</t>
        </is>
      </c>
      <c r="E13" s="26" t="n">
        <v>2</v>
      </c>
      <c r="F13" s="26" t="n">
        <v>2</v>
      </c>
      <c r="G13" s="27">
        <f>IF($D13="","",E13/INDEX('Taux de change'!$B$5:$B$8,MATCH($D13,'Taux de change'!$A$5:$A$8,0)))</f>
        <v/>
      </c>
      <c r="H13" s="27">
        <f>IF($D13="","",F13/INDEX('Taux de change'!$B$5:$B$8,MATCH($D13,'Taux de change'!$A$5:$A$8,0)))</f>
        <v/>
      </c>
      <c r="I13" s="11" t="inlineStr">
        <is>
          <t>Espèces</t>
        </is>
      </c>
    </row>
    <row r="14">
      <c r="A14" s="5" t="inlineStr">
        <is>
          <t>15h20–15h30</t>
        </is>
      </c>
      <c r="B14" s="6" t="inlineStr">
        <is>
          <t>Eau 2 L + snacks pour 21 h de route</t>
        </is>
      </c>
      <c r="C14" s="7" t="inlineStr"/>
      <c r="D14" s="22" t="inlineStr">
        <is>
          <t>PEN</t>
        </is>
      </c>
      <c r="E14" s="23" t="n">
        <v>12</v>
      </c>
      <c r="F14" s="23" t="n">
        <v>18</v>
      </c>
      <c r="G14" s="24">
        <f>IF($D14="","",E14/INDEX('Taux de change'!$B$5:$B$8,MATCH($D14,'Taux de change'!$A$5:$A$8,0)))</f>
        <v/>
      </c>
      <c r="H14" s="24">
        <f>IF($D14="","",F14/INDEX('Taux de change'!$B$5:$B$8,MATCH($D14,'Taux de change'!$A$5:$A$8,0)))</f>
        <v/>
      </c>
      <c r="I14" s="7" t="inlineStr">
        <is>
          <t>Espèces</t>
        </is>
      </c>
    </row>
    <row r="15">
      <c r="A15" s="9" t="inlineStr">
        <is>
          <t>15h30</t>
        </is>
      </c>
      <c r="B15" s="10" t="inlineStr">
        <is>
          <t>BUS LIMA → PUNO — Civa « Excluciva » ou Cruz del Sur « Suite » · 1 300 km · 21 h–22 h · siège 180° · 2 repas + WC + wifi aléatoire</t>
        </is>
      </c>
      <c r="C15" s="11" t="inlineStr">
        <is>
          <t>Réserver 3–7 jours à l'avance sur civa.com.pe ou cruzdelsur.com.pe. Le bus grimpe de 0 à 4 500 m dans la nuit : soroche possible au réveil.</t>
        </is>
      </c>
      <c r="D15" s="25" t="inlineStr">
        <is>
          <t>PEN</t>
        </is>
      </c>
      <c r="E15" s="26" t="n">
        <v>150</v>
      </c>
      <c r="F15" s="26" t="n">
        <v>230</v>
      </c>
      <c r="G15" s="27">
        <f>IF($D15="","",E15/INDEX('Taux de change'!$B$5:$B$8,MATCH($D15,'Taux de change'!$A$5:$A$8,0)))</f>
        <v/>
      </c>
      <c r="H15" s="27">
        <f>IF($D15="","",F15/INDEX('Taux de change'!$B$5:$B$8,MATCH($D15,'Taux de change'!$A$5:$A$8,0)))</f>
        <v/>
      </c>
      <c r="I15" s="11" t="inlineStr">
        <is>
          <t>CB en ligne</t>
        </is>
      </c>
    </row>
    <row r="16">
      <c r="A16" s="5" t="inlineStr">
        <is>
          <t>Nuit</t>
        </is>
      </c>
      <c r="B16" s="6" t="inlineStr">
        <is>
          <t>Nuit à bord — aucune nuit d'hébergement à payer</t>
        </is>
      </c>
      <c r="C16" s="7" t="inlineStr"/>
      <c r="D16" s="30" t="n"/>
      <c r="E16" s="31" t="n"/>
      <c r="F16" s="31" t="n"/>
      <c r="G16" s="31" t="n"/>
      <c r="H16" s="31" t="n"/>
      <c r="I16" s="7" t="inlineStr">
        <is>
          <t>—</t>
        </is>
      </c>
    </row>
    <row r="18">
      <c r="A18" s="13" t="inlineStr">
        <is>
          <t>TOTAL JOUR 1</t>
        </is>
      </c>
      <c r="B18" s="13" t="n"/>
      <c r="C18" s="13" t="n"/>
      <c r="D18" s="13" t="n"/>
      <c r="E18" s="13" t="n"/>
      <c r="F18" s="13" t="n"/>
      <c r="G18" s="14">
        <f>SUM(G6:G16)</f>
        <v/>
      </c>
      <c r="H18" s="14">
        <f>SUM(H6:H16)</f>
        <v/>
      </c>
      <c r="I18" s="13" t="n"/>
    </row>
    <row r="20">
      <c r="A20" s="15" t="inlineStr">
        <is>
          <t>Détail par devise</t>
        </is>
      </c>
    </row>
    <row r="21">
      <c r="A21" s="16" t="inlineStr">
        <is>
          <t>Total S/ (PEN)</t>
        </is>
      </c>
      <c r="E21" s="32">
        <f>SUMIF($D$6:$D$16,"PEN",E6:E16)</f>
        <v/>
      </c>
      <c r="F21" s="32">
        <f>SUMIF($D$6:$D$16,"PEN",F6:F16)</f>
        <v/>
      </c>
    </row>
    <row r="23">
      <c r="A23" s="3" t="inlineStr">
        <is>
          <t>Colonnes E et F = fourchette basse / haute en monnaie locale. Colonnes G et H = conversion automatique via la feuille « Taux de change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2 — PUNO (Pérou)</t>
        </is>
      </c>
    </row>
    <row r="2">
      <c r="A2" s="2" t="inlineStr">
        <is>
          <t>Arrivée sur le lac Titicaca — acclimatation</t>
        </is>
      </c>
    </row>
    <row r="3">
      <c r="A3" s="3" t="inlineStr">
        <is>
          <t>Altitude : 3 827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06h00–07h00</t>
        </is>
      </c>
      <c r="B6" s="6" t="inlineStr">
        <is>
          <t>Petit-déjeuner servi à bord (inclus en Excluciva / Suite) — sinon arrêt Arequipa ou Juliaca</t>
        </is>
      </c>
      <c r="C6" s="7" t="inlineStr"/>
      <c r="D6" s="22" t="inlineStr">
        <is>
          <t>PEN</t>
        </is>
      </c>
      <c r="E6" s="23" t="n">
        <v>0</v>
      </c>
      <c r="F6" s="23" t="n">
        <v>12</v>
      </c>
      <c r="G6" s="24">
        <f>IF($D6="","",E6/INDEX('Taux de change'!$B$5:$B$8,MATCH($D6,'Taux de change'!$A$5:$A$8,0)))</f>
        <v/>
      </c>
      <c r="H6" s="24">
        <f>IF($D6="","",F6/INDEX('Taux de change'!$B$5:$B$8,MATCH($D6,'Taux de change'!$A$5:$A$8,0)))</f>
        <v/>
      </c>
      <c r="I6" s="7" t="inlineStr">
        <is>
          <t>Espèces</t>
        </is>
      </c>
    </row>
    <row r="7">
      <c r="A7" s="9" t="inlineStr">
        <is>
          <t>12h30–13h00</t>
        </is>
      </c>
      <c r="B7" s="10" t="inlineStr">
        <is>
          <t>Arrivée Terminal Terrestre de Puno (Jr. Primero de Mayo)</t>
        </is>
      </c>
      <c r="C7" s="11" t="inlineStr"/>
      <c r="D7" s="33" t="n"/>
      <c r="E7" s="34" t="n"/>
      <c r="F7" s="34" t="n"/>
      <c r="G7" s="34" t="n"/>
      <c r="H7" s="34" t="n"/>
      <c r="I7" s="11" t="inlineStr">
        <is>
          <t>—</t>
        </is>
      </c>
    </row>
    <row r="8">
      <c r="A8" s="5" t="inlineStr">
        <is>
          <t>13h00–13h20</t>
        </is>
      </c>
      <c r="B8" s="6" t="inlineStr">
        <is>
          <t>Mototaxi terminal → centre (1,5 km)</t>
        </is>
      </c>
      <c r="C8" s="7" t="inlineStr">
        <is>
          <t>Négocier avant de monter. Course standard S/ 5.</t>
        </is>
      </c>
      <c r="D8" s="22" t="inlineStr">
        <is>
          <t>PEN</t>
        </is>
      </c>
      <c r="E8" s="23" t="n">
        <v>5</v>
      </c>
      <c r="F8" s="23" t="n">
        <v>8</v>
      </c>
      <c r="G8" s="24">
        <f>IF($D8="","",E8/INDEX('Taux de change'!$B$5:$B$8,MATCH($D8,'Taux de change'!$A$5:$A$8,0)))</f>
        <v/>
      </c>
      <c r="H8" s="24">
        <f>IF($D8="","",F8/INDEX('Taux de change'!$B$5:$B$8,MATCH($D8,'Taux de change'!$A$5:$A$8,0)))</f>
        <v/>
      </c>
      <c r="I8" s="7" t="inlineStr">
        <is>
          <t>Espèces</t>
        </is>
      </c>
    </row>
    <row r="9">
      <c r="A9" s="9" t="inlineStr">
        <is>
          <t>13h20–14h00</t>
        </is>
      </c>
      <c r="B9" s="10" t="inlineStr">
        <is>
          <t>Check-in hostal, quartier Jr. Lima / Plaza de Armas — lit en dortoir (chambre privée : S/ 70–110)</t>
        </is>
      </c>
      <c r="C9" s="11" t="inlineStr"/>
      <c r="D9" s="25" t="inlineStr">
        <is>
          <t>PEN</t>
        </is>
      </c>
      <c r="E9" s="26" t="n">
        <v>35</v>
      </c>
      <c r="F9" s="26" t="n">
        <v>55</v>
      </c>
      <c r="G9" s="27">
        <f>IF($D9="","",E9/INDEX('Taux de change'!$B$5:$B$8,MATCH($D9,'Taux de change'!$A$5:$A$8,0)))</f>
        <v/>
      </c>
      <c r="H9" s="27">
        <f>IF($D9="","",F9/INDEX('Taux de change'!$B$5:$B$8,MATCH($D9,'Taux de change'!$A$5:$A$8,0)))</f>
        <v/>
      </c>
      <c r="I9" s="11" t="inlineStr">
        <is>
          <t>CB / esp.</t>
        </is>
      </c>
    </row>
    <row r="10">
      <c r="A10" s="5" t="inlineStr">
        <is>
          <t>14h00–15h00</t>
        </is>
      </c>
      <c r="B10" s="6" t="inlineStr">
        <is>
          <t>Almuerzo : trucha frita du lac + mate de coca</t>
        </is>
      </c>
      <c r="C10" s="7" t="inlineStr"/>
      <c r="D10" s="22" t="inlineStr">
        <is>
          <t>PEN</t>
        </is>
      </c>
      <c r="E10" s="23" t="n">
        <v>20</v>
      </c>
      <c r="F10" s="23" t="n">
        <v>30</v>
      </c>
      <c r="G10" s="24">
        <f>IF($D10="","",E10/INDEX('Taux de change'!$B$5:$B$8,MATCH($D10,'Taux de change'!$A$5:$A$8,0)))</f>
        <v/>
      </c>
      <c r="H10" s="24">
        <f>IF($D10="","",F10/INDEX('Taux de change'!$B$5:$B$8,MATCH($D10,'Taux de change'!$A$5:$A$8,0)))</f>
        <v/>
      </c>
      <c r="I10" s="7" t="inlineStr">
        <is>
          <t>Espèces</t>
        </is>
      </c>
    </row>
    <row r="11">
      <c r="A11" s="9" t="inlineStr">
        <is>
          <t>15h00–16h00</t>
        </is>
      </c>
      <c r="B11" s="10" t="inlineStr">
        <is>
          <t>Repos obligatoire — acclimatation. Sorojchi Pills en pharmacie (Inkafarma)</t>
        </is>
      </c>
      <c r="C11" s="11" t="inlineStr">
        <is>
          <t>Monter de 154 m à 3 827 m en une nuit : ne rien forcer le premier après-midi, boire 3 L d'eau, éviter l'alcool.</t>
        </is>
      </c>
      <c r="D11" s="25" t="inlineStr">
        <is>
          <t>PEN</t>
        </is>
      </c>
      <c r="E11" s="26" t="n">
        <v>12</v>
      </c>
      <c r="F11" s="26" t="n">
        <v>18</v>
      </c>
      <c r="G11" s="27">
        <f>IF($D11="","",E11/INDEX('Taux de change'!$B$5:$B$8,MATCH($D11,'Taux de change'!$A$5:$A$8,0)))</f>
        <v/>
      </c>
      <c r="H11" s="27">
        <f>IF($D11="","",F11/INDEX('Taux de change'!$B$5:$B$8,MATCH($D11,'Taux de change'!$A$5:$A$8,0)))</f>
        <v/>
      </c>
      <c r="I11" s="11" t="inlineStr">
        <is>
          <t>Espèces</t>
        </is>
      </c>
    </row>
    <row r="12">
      <c r="A12" s="5" t="inlineStr">
        <is>
          <t>16h00–17h00</t>
        </is>
      </c>
      <c r="B12" s="6" t="inlineStr">
        <is>
          <t>Cathédrale de Puno + Plaza de Armas + Casa del Corregidor</t>
        </is>
      </c>
      <c r="C12" s="7" t="inlineStr"/>
      <c r="D12" s="22" t="inlineStr">
        <is>
          <t>PEN</t>
        </is>
      </c>
      <c r="E12" s="23" t="n">
        <v>0</v>
      </c>
      <c r="F12" s="23" t="n">
        <v>10</v>
      </c>
      <c r="G12" s="24">
        <f>IF($D12="","",E12/INDEX('Taux de change'!$B$5:$B$8,MATCH($D12,'Taux de change'!$A$5:$A$8,0)))</f>
        <v/>
      </c>
      <c r="H12" s="24">
        <f>IF($D12="","",F12/INDEX('Taux de change'!$B$5:$B$8,MATCH($D12,'Taux de change'!$A$5:$A$8,0)))</f>
        <v/>
      </c>
      <c r="I12" s="7" t="inlineStr">
        <is>
          <t>Espèces</t>
        </is>
      </c>
    </row>
    <row r="13">
      <c r="A13" s="9" t="inlineStr">
        <is>
          <t>17h00–18h00</t>
        </is>
      </c>
      <c r="B13" s="10" t="inlineStr">
        <is>
          <t>Mirador Kuntur Wasi (le condor) — mototaxi aller/retour + 100 marches</t>
        </is>
      </c>
      <c r="C13" s="11" t="inlineStr"/>
      <c r="D13" s="25" t="inlineStr">
        <is>
          <t>PEN</t>
        </is>
      </c>
      <c r="E13" s="26" t="n">
        <v>10</v>
      </c>
      <c r="F13" s="26" t="n">
        <v>14</v>
      </c>
      <c r="G13" s="27">
        <f>IF($D13="","",E13/INDEX('Taux de change'!$B$5:$B$8,MATCH($D13,'Taux de change'!$A$5:$A$8,0)))</f>
        <v/>
      </c>
      <c r="H13" s="27">
        <f>IF($D13="","",F13/INDEX('Taux de change'!$B$5:$B$8,MATCH($D13,'Taux de change'!$A$5:$A$8,0)))</f>
        <v/>
      </c>
      <c r="I13" s="11" t="inlineStr">
        <is>
          <t>Espèces</t>
        </is>
      </c>
    </row>
    <row r="14">
      <c r="A14" s="5" t="inlineStr">
        <is>
          <t>18h00–18h30</t>
        </is>
      </c>
      <c r="B14" s="6" t="inlineStr">
        <is>
          <t>Achat du billet de bus Puno → Copacabana (agence Jr. Tacna ou terminal)</t>
        </is>
      </c>
      <c r="C14" s="7" t="inlineStr">
        <is>
          <t>Trans Titicaca, Tour Perú, Trans Zela, Trans Salvador. Départ 07h30. Billet payé ici, trajet le lendemain.</t>
        </is>
      </c>
      <c r="D14" s="22" t="inlineStr">
        <is>
          <t>PEN</t>
        </is>
      </c>
      <c r="E14" s="23" t="n">
        <v>30</v>
      </c>
      <c r="F14" s="23" t="n">
        <v>45</v>
      </c>
      <c r="G14" s="24">
        <f>IF($D14="","",E14/INDEX('Taux de change'!$B$5:$B$8,MATCH($D14,'Taux de change'!$A$5:$A$8,0)))</f>
        <v/>
      </c>
      <c r="H14" s="24">
        <f>IF($D14="","",F14/INDEX('Taux de change'!$B$5:$B$8,MATCH($D14,'Taux de change'!$A$5:$A$8,0)))</f>
        <v/>
      </c>
      <c r="I14" s="7" t="inlineStr">
        <is>
          <t>Espèces</t>
        </is>
      </c>
    </row>
    <row r="15">
      <c r="A15" s="9" t="inlineStr">
        <is>
          <t>18h30–19h00</t>
        </is>
      </c>
      <c r="B15" s="10" t="inlineStr">
        <is>
          <t>Change S/ → Bs en casa de cambio (Jr. Lima) et retrait DAB</t>
        </is>
      </c>
      <c r="C15" s="11" t="inlineStr">
        <is>
          <t>Frais de retrait S/ 18–25 chez BCP/Interbank. Banco de la Nación est le moins cher. Sortir de quoi tenir en Bolivie.</t>
        </is>
      </c>
      <c r="D15" s="25" t="inlineStr">
        <is>
          <t>PEN</t>
        </is>
      </c>
      <c r="E15" s="26" t="n">
        <v>18</v>
      </c>
      <c r="F15" s="26" t="n">
        <v>25</v>
      </c>
      <c r="G15" s="27">
        <f>IF($D15="","",E15/INDEX('Taux de change'!$B$5:$B$8,MATCH($D15,'Taux de change'!$A$5:$A$8,0)))</f>
        <v/>
      </c>
      <c r="H15" s="27">
        <f>IF($D15="","",F15/INDEX('Taux de change'!$B$5:$B$8,MATCH($D15,'Taux de change'!$A$5:$A$8,0)))</f>
        <v/>
      </c>
      <c r="I15" s="11" t="inlineStr">
        <is>
          <t>Espèces</t>
        </is>
      </c>
    </row>
    <row r="16">
      <c r="A16" s="5" t="inlineStr">
        <is>
          <t>19h30–20h30</t>
        </is>
      </c>
      <c r="B16" s="6" t="inlineStr">
        <is>
          <t>Dîner : pizzeria au feu de bois ou anticuchos de la Plaza</t>
        </is>
      </c>
      <c r="C16" s="7" t="inlineStr"/>
      <c r="D16" s="22" t="inlineStr">
        <is>
          <t>PEN</t>
        </is>
      </c>
      <c r="E16" s="23" t="n">
        <v>25</v>
      </c>
      <c r="F16" s="23" t="n">
        <v>35</v>
      </c>
      <c r="G16" s="24">
        <f>IF($D16="","",E16/INDEX('Taux de change'!$B$5:$B$8,MATCH($D16,'Taux de change'!$A$5:$A$8,0)))</f>
        <v/>
      </c>
      <c r="H16" s="24">
        <f>IF($D16="","",F16/INDEX('Taux de change'!$B$5:$B$8,MATCH($D16,'Taux de change'!$A$5:$A$8,0)))</f>
        <v/>
      </c>
      <c r="I16" s="7" t="inlineStr">
        <is>
          <t>CB / esp.</t>
        </is>
      </c>
    </row>
    <row r="17">
      <c r="A17" s="9" t="inlineStr">
        <is>
          <t>—</t>
        </is>
      </c>
      <c r="B17" s="10" t="inlineStr">
        <is>
          <t>Puce Claro ou Bitel, 10 Go / 30 jours (passeport obligatoire)</t>
        </is>
      </c>
      <c r="C17" s="11" t="inlineStr"/>
      <c r="D17" s="25" t="inlineStr">
        <is>
          <t>PEN</t>
        </is>
      </c>
      <c r="E17" s="26" t="n">
        <v>30</v>
      </c>
      <c r="F17" s="26" t="n">
        <v>30</v>
      </c>
      <c r="G17" s="27">
        <f>IF($D17="","",E17/INDEX('Taux de change'!$B$5:$B$8,MATCH($D17,'Taux de change'!$A$5:$A$8,0)))</f>
        <v/>
      </c>
      <c r="H17" s="27">
        <f>IF($D17="","",F17/INDEX('Taux de change'!$B$5:$B$8,MATCH($D17,'Taux de change'!$A$5:$A$8,0)))</f>
        <v/>
      </c>
      <c r="I17" s="11" t="inlineStr">
        <is>
          <t>Espèces</t>
        </is>
      </c>
    </row>
    <row r="19">
      <c r="A19" s="13" t="inlineStr">
        <is>
          <t>TOTAL JOUR 2</t>
        </is>
      </c>
      <c r="B19" s="13" t="n"/>
      <c r="C19" s="13" t="n"/>
      <c r="D19" s="13" t="n"/>
      <c r="E19" s="13" t="n"/>
      <c r="F19" s="13" t="n"/>
      <c r="G19" s="14">
        <f>SUM(G6:G17)</f>
        <v/>
      </c>
      <c r="H19" s="14">
        <f>SUM(H6:H17)</f>
        <v/>
      </c>
      <c r="I19" s="13" t="n"/>
    </row>
    <row r="21">
      <c r="A21" s="15" t="inlineStr">
        <is>
          <t>Détail par devise</t>
        </is>
      </c>
    </row>
    <row r="22">
      <c r="A22" s="16" t="inlineStr">
        <is>
          <t>Total S/ (PEN)</t>
        </is>
      </c>
      <c r="E22" s="32">
        <f>SUMIF($D$6:$D$17,"PEN",E6:E17)</f>
        <v/>
      </c>
      <c r="F22" s="32">
        <f>SUMIF($D$6:$D$17,"PEN",F6:F17)</f>
        <v/>
      </c>
    </row>
    <row r="24">
      <c r="A24" s="3" t="inlineStr">
        <is>
          <t>Colonnes E et F = fourchette basse / haute en monnaie locale. Colonnes G et H = conversion automatique via la feuille « Taux de change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3 — PUNO → COPACABANA (Bolivie)</t>
        </is>
      </c>
    </row>
    <row r="2">
      <c r="A2" s="2" t="inlineStr">
        <is>
          <t>Passage de frontière à Kasani — côté bolivien du Titicaca</t>
        </is>
      </c>
    </row>
    <row r="3">
      <c r="A3" s="3" t="inlineStr">
        <is>
          <t>Altitude : 3 841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06h30–07h00</t>
        </is>
      </c>
      <c r="B6" s="6" t="inlineStr">
        <is>
          <t>Petit-déjeuner à l'hostal (souvent inclus)</t>
        </is>
      </c>
      <c r="C6" s="7" t="inlineStr"/>
      <c r="D6" s="22" t="inlineStr">
        <is>
          <t>PEN</t>
        </is>
      </c>
      <c r="E6" s="23" t="n">
        <v>0</v>
      </c>
      <c r="F6" s="23" t="n">
        <v>10</v>
      </c>
      <c r="G6" s="24">
        <f>IF($D6="","",E6/INDEX('Taux de change'!$B$5:$B$8,MATCH($D6,'Taux de change'!$A$5:$A$8,0)))</f>
        <v/>
      </c>
      <c r="H6" s="24">
        <f>IF($D6="","",F6/INDEX('Taux de change'!$B$5:$B$8,MATCH($D6,'Taux de change'!$A$5:$A$8,0)))</f>
        <v/>
      </c>
      <c r="I6" s="7" t="inlineStr">
        <is>
          <t>Espèces</t>
        </is>
      </c>
    </row>
    <row r="7">
      <c r="A7" s="9" t="inlineStr">
        <is>
          <t>07h00–07h15</t>
        </is>
      </c>
      <c r="B7" s="10" t="inlineStr">
        <is>
          <t>Mototaxi → Terminal Terrestre</t>
        </is>
      </c>
      <c r="C7" s="11" t="inlineStr"/>
      <c r="D7" s="25" t="inlineStr">
        <is>
          <t>PEN</t>
        </is>
      </c>
      <c r="E7" s="26" t="n">
        <v>5</v>
      </c>
      <c r="F7" s="26" t="n">
        <v>8</v>
      </c>
      <c r="G7" s="27">
        <f>IF($D7="","",E7/INDEX('Taux de change'!$B$5:$B$8,MATCH($D7,'Taux de change'!$A$5:$A$8,0)))</f>
        <v/>
      </c>
      <c r="H7" s="27">
        <f>IF($D7="","",F7/INDEX('Taux de change'!$B$5:$B$8,MATCH($D7,'Taux de change'!$A$5:$A$8,0)))</f>
        <v/>
      </c>
      <c r="I7" s="11" t="inlineStr">
        <is>
          <t>Espèces</t>
        </is>
      </c>
    </row>
    <row r="8">
      <c r="A8" s="5" t="inlineStr">
        <is>
          <t>07h15–07h30</t>
        </is>
      </c>
      <c r="B8" s="6" t="inlineStr">
        <is>
          <t>Tasa de embarque du terminal de Puno</t>
        </is>
      </c>
      <c r="C8" s="7" t="inlineStr"/>
      <c r="D8" s="22" t="inlineStr">
        <is>
          <t>PEN</t>
        </is>
      </c>
      <c r="E8" s="23" t="n">
        <v>1.5</v>
      </c>
      <c r="F8" s="23" t="n">
        <v>2</v>
      </c>
      <c r="G8" s="24">
        <f>IF($D8="","",E8/INDEX('Taux de change'!$B$5:$B$8,MATCH($D8,'Taux de change'!$A$5:$A$8,0)))</f>
        <v/>
      </c>
      <c r="H8" s="24">
        <f>IF($D8="","",F8/INDEX('Taux de change'!$B$5:$B$8,MATCH($D8,'Taux de change'!$A$5:$A$8,0)))</f>
        <v/>
      </c>
      <c r="I8" s="7" t="inlineStr">
        <is>
          <t>Espèces</t>
        </is>
      </c>
    </row>
    <row r="9">
      <c r="A9" s="9" t="inlineStr">
        <is>
          <t>07h30–09h30</t>
        </is>
      </c>
      <c r="B9" s="10" t="inlineStr">
        <is>
          <t>BUS PUNO → KASANI — 150 km par la rive ouest (Chucuito, Juli, Yunguyo)</t>
        </is>
      </c>
      <c r="C9" s="11" t="inlineStr">
        <is>
          <t>Billet acheté la veille (S/ 30–45).</t>
        </is>
      </c>
      <c r="D9" s="33" t="n"/>
      <c r="E9" s="34" t="n"/>
      <c r="F9" s="34" t="n"/>
      <c r="G9" s="34" t="n"/>
      <c r="H9" s="34" t="n"/>
      <c r="I9" s="11" t="inlineStr">
        <is>
          <t>—</t>
        </is>
      </c>
    </row>
    <row r="10">
      <c r="A10" s="5" t="inlineStr">
        <is>
          <t>09h30–10h15</t>
        </is>
      </c>
      <c r="B10" s="6" t="inlineStr">
        <is>
          <t>FRONTIÈRE — Sortie du Pérou (Migraciones Yunguyo) : tampon de sortie</t>
        </is>
      </c>
      <c r="C10" s="7" t="inlineStr">
        <is>
          <t>Aucune taxe de sortie au Pérou. Garder la carte TAM si on vous en a donné une.</t>
        </is>
      </c>
      <c r="D10" s="30" t="n"/>
      <c r="E10" s="31" t="n"/>
      <c r="F10" s="31" t="n"/>
      <c r="G10" s="31" t="n"/>
      <c r="H10" s="31" t="n"/>
      <c r="I10" s="35" t="inlineStr">
        <is>
          <t>GRATUIT</t>
        </is>
      </c>
    </row>
    <row r="11">
      <c r="A11" s="9" t="inlineStr">
        <is>
          <t>10h15–11h00</t>
        </is>
      </c>
      <c r="B11" s="10" t="inlineStr">
        <is>
          <t>FRONTIÈRE — Entrée en Bolivie (Migración Kasani) : tampon 90 jours pour un passeport français</t>
        </is>
      </c>
      <c r="C11" s="11" t="inlineStr">
        <is>
          <t>Aucun visa ni frais pour les Français. Si un agent réclame une « boleta » de Bs 10–20, demandez un reçu officiel : la taxe n'existe pas. Demandez explicitement 90 jours.</t>
        </is>
      </c>
      <c r="D11" s="33" t="n"/>
      <c r="E11" s="34" t="n"/>
      <c r="F11" s="34" t="n"/>
      <c r="G11" s="34" t="n"/>
      <c r="H11" s="34" t="n"/>
      <c r="I11" s="36" t="inlineStr">
        <is>
          <t>GRATUIT</t>
        </is>
      </c>
    </row>
    <row r="12">
      <c r="A12" s="5" t="inlineStr">
        <is>
          <t>11h00–11h15</t>
        </is>
      </c>
      <c r="B12" s="6" t="inlineStr">
        <is>
          <t>Change $ / S/ → Bs auprès des cambistas de Kasani</t>
        </is>
      </c>
      <c r="C12" s="7" t="inlineStr">
        <is>
          <t>Taux 4–6 % moins bon qu'à La Paz : ne changez ici que Bs 300–500 de dépannage.</t>
        </is>
      </c>
      <c r="D12" s="30" t="n"/>
      <c r="E12" s="31" t="n"/>
      <c r="F12" s="31" t="n"/>
      <c r="G12" s="31" t="n"/>
      <c r="H12" s="31" t="n"/>
      <c r="I12" s="7" t="inlineStr">
        <is>
          <t>Espèces</t>
        </is>
      </c>
    </row>
    <row r="13">
      <c r="A13" s="9" t="inlineStr">
        <is>
          <t>12h30</t>
        </is>
      </c>
      <c r="B13" s="10" t="inlineStr">
        <is>
          <t>Arrivée Copacabana (attention : +1 h, la Bolivie est à UTC−4)</t>
        </is>
      </c>
      <c r="C13" s="11" t="inlineStr"/>
      <c r="D13" s="33" t="n"/>
      <c r="E13" s="34" t="n"/>
      <c r="F13" s="34" t="n"/>
      <c r="G13" s="34" t="n"/>
      <c r="H13" s="34" t="n"/>
      <c r="I13" s="11" t="inlineStr">
        <is>
          <t>—</t>
        </is>
      </c>
    </row>
    <row r="14">
      <c r="A14" s="5" t="inlineStr">
        <is>
          <t>12h30–13h00</t>
        </is>
      </c>
      <c r="B14" s="6" t="inlineStr">
        <is>
          <t>Marche terminal → hostal (600 m, tout est à pied)</t>
        </is>
      </c>
      <c r="C14" s="7" t="inlineStr"/>
      <c r="D14" s="30" t="n"/>
      <c r="E14" s="31" t="n"/>
      <c r="F14" s="31" t="n"/>
      <c r="G14" s="31" t="n"/>
      <c r="H14" s="31" t="n"/>
      <c r="I14" s="7" t="inlineStr">
        <is>
          <t>—</t>
        </is>
      </c>
    </row>
    <row r="15">
      <c r="A15" s="9" t="inlineStr">
        <is>
          <t>13h00–13h30</t>
        </is>
      </c>
      <c r="B15" s="10" t="inlineStr">
        <is>
          <t>Check-in hostal Copacabana — dortoir ou chambre privée avec vue sur le lac</t>
        </is>
      </c>
      <c r="C15" s="11" t="inlineStr">
        <is>
          <t>À Copacabana, la quasi-totalité des hostales n'acceptent QUE les espèces en bolivianos.</t>
        </is>
      </c>
      <c r="D15" s="25" t="inlineStr">
        <is>
          <t>BOB</t>
        </is>
      </c>
      <c r="E15" s="26" t="n">
        <v>60</v>
      </c>
      <c r="F15" s="26" t="n">
        <v>110</v>
      </c>
      <c r="G15" s="27">
        <f>IF($D15="","",E15/INDEX('Taux de change'!$B$5:$B$8,MATCH($D15,'Taux de change'!$A$5:$A$8,0)))</f>
        <v/>
      </c>
      <c r="H15" s="27">
        <f>IF($D15="","",F15/INDEX('Taux de change'!$B$5:$B$8,MATCH($D15,'Taux de change'!$A$5:$A$8,0)))</f>
        <v/>
      </c>
      <c r="I15" s="11" t="inlineStr">
        <is>
          <t>Espèces</t>
        </is>
      </c>
    </row>
    <row r="16">
      <c r="A16" s="5" t="inlineStr">
        <is>
          <t>13h30–14h30</t>
        </is>
      </c>
      <c r="B16" s="6" t="inlineStr">
        <is>
          <t>Almuerzo : trucha a la plancha, Av. 6 de Agosto</t>
        </is>
      </c>
      <c r="C16" s="7" t="inlineStr"/>
      <c r="D16" s="22" t="inlineStr">
        <is>
          <t>BOB</t>
        </is>
      </c>
      <c r="E16" s="23" t="n">
        <v>30</v>
      </c>
      <c r="F16" s="23" t="n">
        <v>45</v>
      </c>
      <c r="G16" s="24">
        <f>IF($D16="","",E16/INDEX('Taux de change'!$B$5:$B$8,MATCH($D16,'Taux de change'!$A$5:$A$8,0)))</f>
        <v/>
      </c>
      <c r="H16" s="24">
        <f>IF($D16="","",F16/INDEX('Taux de change'!$B$5:$B$8,MATCH($D16,'Taux de change'!$A$5:$A$8,0)))</f>
        <v/>
      </c>
      <c r="I16" s="7" t="inlineStr">
        <is>
          <t>Espèces</t>
        </is>
      </c>
    </row>
    <row r="17">
      <c r="A17" s="9" t="inlineStr">
        <is>
          <t>14h30–16h00</t>
        </is>
      </c>
      <c r="B17" s="10" t="inlineStr">
        <is>
          <t>Basilique Notre-Dame de Copacabana + Capilla de Velas + bénédiction des voitures (ven./dim.)</t>
        </is>
      </c>
      <c r="C17" s="11" t="inlineStr"/>
      <c r="D17" s="25" t="inlineStr">
        <is>
          <t>BOB</t>
        </is>
      </c>
      <c r="E17" s="26" t="n">
        <v>0</v>
      </c>
      <c r="F17" s="26" t="n">
        <v>10</v>
      </c>
      <c r="G17" s="27">
        <f>IF($D17="","",E17/INDEX('Taux de change'!$B$5:$B$8,MATCH($D17,'Taux de change'!$A$5:$A$8,0)))</f>
        <v/>
      </c>
      <c r="H17" s="27">
        <f>IF($D17="","",F17/INDEX('Taux de change'!$B$5:$B$8,MATCH($D17,'Taux de change'!$A$5:$A$8,0)))</f>
        <v/>
      </c>
      <c r="I17" s="11" t="inlineStr">
        <is>
          <t>Espèces</t>
        </is>
      </c>
    </row>
    <row r="18">
      <c r="A18" s="5" t="inlineStr">
        <is>
          <t>16h00–18h00</t>
        </is>
      </c>
      <c r="B18" s="6" t="inlineStr">
        <is>
          <t>Montée au Cerro Calvario (3 966 m, 45 min) — coucher de soleil sur le Titicaca</t>
        </is>
      </c>
      <c r="C18" s="7" t="inlineStr"/>
      <c r="D18" s="22" t="inlineStr">
        <is>
          <t>BOB</t>
        </is>
      </c>
      <c r="E18" s="23" t="n">
        <v>0</v>
      </c>
      <c r="F18" s="23" t="n">
        <v>5</v>
      </c>
      <c r="G18" s="24">
        <f>IF($D18="","",E18/INDEX('Taux de change'!$B$5:$B$8,MATCH($D18,'Taux de change'!$A$5:$A$8,0)))</f>
        <v/>
      </c>
      <c r="H18" s="24">
        <f>IF($D18="","",F18/INDEX('Taux de change'!$B$5:$B$8,MATCH($D18,'Taux de change'!$A$5:$A$8,0)))</f>
        <v/>
      </c>
      <c r="I18" s="7" t="inlineStr">
        <is>
          <t>Espèces</t>
        </is>
      </c>
    </row>
    <row r="19">
      <c r="A19" s="9" t="inlineStr">
        <is>
          <t>18h00–18h30</t>
        </is>
      </c>
      <c r="B19" s="10" t="inlineStr">
        <is>
          <t>Réservation du bateau pour l'Isla del Sol au muelle (départ 08h30)</t>
        </is>
      </c>
      <c r="C19" s="11" t="inlineStr">
        <is>
          <t>Paiement le lendemain matin au guichet du quai.</t>
        </is>
      </c>
      <c r="D19" s="33" t="n"/>
      <c r="E19" s="34" t="n"/>
      <c r="F19" s="34" t="n"/>
      <c r="G19" s="34" t="n"/>
      <c r="H19" s="34" t="n"/>
      <c r="I19" s="11" t="inlineStr">
        <is>
          <t>—</t>
        </is>
      </c>
    </row>
    <row r="20">
      <c r="A20" s="5" t="inlineStr">
        <is>
          <t>19h00–20h00</t>
        </is>
      </c>
      <c r="B20" s="6" t="inlineStr">
        <is>
          <t>Dîner : sopa de quinua + pique macho</t>
        </is>
      </c>
      <c r="C20" s="7" t="inlineStr"/>
      <c r="D20" s="22" t="inlineStr">
        <is>
          <t>BOB</t>
        </is>
      </c>
      <c r="E20" s="23" t="n">
        <v>30</v>
      </c>
      <c r="F20" s="23" t="n">
        <v>45</v>
      </c>
      <c r="G20" s="24">
        <f>IF($D20="","",E20/INDEX('Taux de change'!$B$5:$B$8,MATCH($D20,'Taux de change'!$A$5:$A$8,0)))</f>
        <v/>
      </c>
      <c r="H20" s="24">
        <f>IF($D20="","",F20/INDEX('Taux de change'!$B$5:$B$8,MATCH($D20,'Taux de change'!$A$5:$A$8,0)))</f>
        <v/>
      </c>
      <c r="I20" s="7" t="inlineStr">
        <is>
          <t>Espèces</t>
        </is>
      </c>
    </row>
    <row r="21">
      <c r="A21" s="9" t="inlineStr">
        <is>
          <t>—</t>
        </is>
      </c>
      <c r="B21" s="10" t="inlineStr">
        <is>
          <t>Eau 4 L + snacks (l'eau du robinet n'est pas potable)</t>
        </is>
      </c>
      <c r="C21" s="11" t="inlineStr"/>
      <c r="D21" s="25" t="inlineStr">
        <is>
          <t>BOB</t>
        </is>
      </c>
      <c r="E21" s="26" t="n">
        <v>15</v>
      </c>
      <c r="F21" s="26" t="n">
        <v>15</v>
      </c>
      <c r="G21" s="27">
        <f>IF($D21="","",E21/INDEX('Taux de change'!$B$5:$B$8,MATCH($D21,'Taux de change'!$A$5:$A$8,0)))</f>
        <v/>
      </c>
      <c r="H21" s="27">
        <f>IF($D21="","",F21/INDEX('Taux de change'!$B$5:$B$8,MATCH($D21,'Taux de change'!$A$5:$A$8,0)))</f>
        <v/>
      </c>
      <c r="I21" s="11" t="inlineStr">
        <is>
          <t>Espèces</t>
        </is>
      </c>
    </row>
    <row r="23">
      <c r="A23" s="13" t="inlineStr">
        <is>
          <t>TOTAL JOUR 3</t>
        </is>
      </c>
      <c r="B23" s="13" t="n"/>
      <c r="C23" s="13" t="n"/>
      <c r="D23" s="13" t="n"/>
      <c r="E23" s="13" t="n"/>
      <c r="F23" s="13" t="n"/>
      <c r="G23" s="14">
        <f>SUM(G6:G21)</f>
        <v/>
      </c>
      <c r="H23" s="14">
        <f>SUM(H6:H21)</f>
        <v/>
      </c>
      <c r="I23" s="13" t="n"/>
    </row>
    <row r="25">
      <c r="A25" s="15" t="inlineStr">
        <is>
          <t>Détail par devise</t>
        </is>
      </c>
    </row>
    <row r="26">
      <c r="A26" s="16" t="inlineStr">
        <is>
          <t>Total S/ (PEN)</t>
        </is>
      </c>
      <c r="E26" s="32">
        <f>SUMIF($D$6:$D$21,"PEN",E6:E21)</f>
        <v/>
      </c>
      <c r="F26" s="32">
        <f>SUMIF($D$6:$D$21,"PEN",F6:F21)</f>
        <v/>
      </c>
    </row>
    <row r="27">
      <c r="A27" s="16" t="inlineStr">
        <is>
          <t>Total Bs (BOB)</t>
        </is>
      </c>
      <c r="E27" s="32">
        <f>SUMIF($D$6:$D$21,"BOB",E6:E21)</f>
        <v/>
      </c>
      <c r="F27" s="32">
        <f>SUMIF($D$6:$D$21,"BOB",F6:F21)</f>
        <v/>
      </c>
    </row>
    <row r="29">
      <c r="A29" s="3" t="inlineStr">
        <is>
          <t>Colonnes E et F = fourchette basse / haute en monnaie locale. Colonnes G et H = conversion automatique via la feuille « Taux de change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4"/>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4 — ISLA DEL SOL (Bolivie)</t>
        </is>
      </c>
    </row>
    <row r="2">
      <c r="A2" s="2" t="inlineStr">
        <is>
          <t>Journée complète sur l'île du Soleil — berceau inca</t>
        </is>
      </c>
    </row>
    <row r="3">
      <c r="A3" s="3" t="inlineStr">
        <is>
          <t>Altitude : 4 070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07h30–08h15</t>
        </is>
      </c>
      <c r="B6" s="6" t="inlineStr">
        <is>
          <t>Petit-déjeuner : café + salteña</t>
        </is>
      </c>
      <c r="C6" s="7" t="inlineStr"/>
      <c r="D6" s="22" t="inlineStr">
        <is>
          <t>BOB</t>
        </is>
      </c>
      <c r="E6" s="23" t="n">
        <v>12</v>
      </c>
      <c r="F6" s="23" t="n">
        <v>20</v>
      </c>
      <c r="G6" s="24">
        <f>IF($D6="","",E6/INDEX('Taux de change'!$B$5:$B$8,MATCH($D6,'Taux de change'!$A$5:$A$8,0)))</f>
        <v/>
      </c>
      <c r="H6" s="24">
        <f>IF($D6="","",F6/INDEX('Taux de change'!$B$5:$B$8,MATCH($D6,'Taux de change'!$A$5:$A$8,0)))</f>
        <v/>
      </c>
      <c r="I6" s="7" t="inlineStr">
        <is>
          <t>Espèces</t>
        </is>
      </c>
    </row>
    <row r="7">
      <c r="A7" s="9" t="inlineStr">
        <is>
          <t>08h15–08h30</t>
        </is>
      </c>
      <c r="B7" s="10" t="inlineStr">
        <is>
          <t>Billet de bateau aller-retour au muelle (Titicaca Tours / Andes Amazonía)</t>
        </is>
      </c>
      <c r="C7" s="11" t="inlineStr">
        <is>
          <t>Bs 40 si le bateau est plein (12 pers. min.), Bs 60 sinon. Aller simple Bs 25–30.</t>
        </is>
      </c>
      <c r="D7" s="25" t="inlineStr">
        <is>
          <t>BOB</t>
        </is>
      </c>
      <c r="E7" s="26" t="n">
        <v>40</v>
      </c>
      <c r="F7" s="26" t="n">
        <v>60</v>
      </c>
      <c r="G7" s="27">
        <f>IF($D7="","",E7/INDEX('Taux de change'!$B$5:$B$8,MATCH($D7,'Taux de change'!$A$5:$A$8,0)))</f>
        <v/>
      </c>
      <c r="H7" s="27">
        <f>IF($D7="","",F7/INDEX('Taux de change'!$B$5:$B$8,MATCH($D7,'Taux de change'!$A$5:$A$8,0)))</f>
        <v/>
      </c>
      <c r="I7" s="11" t="inlineStr">
        <is>
          <t>Espèces</t>
        </is>
      </c>
    </row>
    <row r="8">
      <c r="A8" s="5" t="inlineStr">
        <is>
          <t>08h30–10h00</t>
        </is>
      </c>
      <c r="B8" s="6" t="inlineStr">
        <is>
          <t>BATEAU Copacabana → Yumani (sud de l'île) — 1 h 30 de navigation</t>
        </is>
      </c>
      <c r="C8" s="7" t="inlineStr"/>
      <c r="D8" s="30" t="n"/>
      <c r="E8" s="31" t="n"/>
      <c r="F8" s="31" t="n"/>
      <c r="G8" s="31" t="n"/>
      <c r="H8" s="31" t="n"/>
      <c r="I8" s="7" t="inlineStr">
        <is>
          <t>—</t>
        </is>
      </c>
    </row>
    <row r="9">
      <c r="A9" s="9" t="inlineStr">
        <is>
          <t>10h00–10h15</t>
        </is>
      </c>
      <c r="B9" s="10" t="inlineStr">
        <is>
          <t>Ticket communautaire — secteur sud (communauté de Yumani)</t>
        </is>
      </c>
      <c r="C9" s="11" t="inlineStr"/>
      <c r="D9" s="25" t="inlineStr">
        <is>
          <t>BOB</t>
        </is>
      </c>
      <c r="E9" s="26" t="n">
        <v>25</v>
      </c>
      <c r="F9" s="26" t="n">
        <v>25</v>
      </c>
      <c r="G9" s="27">
        <f>IF($D9="","",E9/INDEX('Taux de change'!$B$5:$B$8,MATCH($D9,'Taux de change'!$A$5:$A$8,0)))</f>
        <v/>
      </c>
      <c r="H9" s="27">
        <f>IF($D9="","",F9/INDEX('Taux de change'!$B$5:$B$8,MATCH($D9,'Taux de change'!$A$5:$A$8,0)))</f>
        <v/>
      </c>
      <c r="I9" s="11" t="inlineStr">
        <is>
          <t>Espèces (exact)</t>
        </is>
      </c>
    </row>
    <row r="10">
      <c r="A10" s="5" t="inlineStr">
        <is>
          <t>10h15–11h15</t>
        </is>
      </c>
      <c r="B10" s="6" t="inlineStr">
        <is>
          <t>Escalier de l'Inca (206 marches) + Fuente del Inca (3 sources)</t>
        </is>
      </c>
      <c r="C10" s="7" t="inlineStr">
        <is>
          <t>Montée très rude à 4 000 m avec le sac : laissez vos affaires à Copacabana.</t>
        </is>
      </c>
      <c r="D10" s="30" t="n"/>
      <c r="E10" s="31" t="n"/>
      <c r="F10" s="31" t="n"/>
      <c r="G10" s="31" t="n"/>
      <c r="H10" s="31" t="n"/>
      <c r="I10" s="7" t="inlineStr">
        <is>
          <t>—</t>
        </is>
      </c>
    </row>
    <row r="11">
      <c r="A11" s="9" t="inlineStr">
        <is>
          <t>11h15–13h00</t>
        </is>
      </c>
      <c r="B11" s="10" t="inlineStr">
        <is>
          <t>Sentier de crête sud → Pilko Kaina (temple du Soleil) + Museo de Oro</t>
        </is>
      </c>
      <c r="C11" s="11" t="inlineStr"/>
      <c r="D11" s="25" t="inlineStr">
        <is>
          <t>BOB</t>
        </is>
      </c>
      <c r="E11" s="26" t="n">
        <v>15</v>
      </c>
      <c r="F11" s="26" t="n">
        <v>15</v>
      </c>
      <c r="G11" s="27">
        <f>IF($D11="","",E11/INDEX('Taux de change'!$B$5:$B$8,MATCH($D11,'Taux de change'!$A$5:$A$8,0)))</f>
        <v/>
      </c>
      <c r="H11" s="27">
        <f>IF($D11="","",F11/INDEX('Taux de change'!$B$5:$B$8,MATCH($D11,'Taux de change'!$A$5:$A$8,0)))</f>
        <v/>
      </c>
      <c r="I11" s="11" t="inlineStr">
        <is>
          <t>Espèces (exact)</t>
        </is>
      </c>
    </row>
    <row r="12">
      <c r="A12" s="5" t="inlineStr">
        <is>
          <t>13h00–14h00</t>
        </is>
      </c>
      <c r="B12" s="6" t="inlineStr">
        <is>
          <t>Déjeuner sur l'île (trucha + vue) — prix majorés, tout est monté à dos d'âne</t>
        </is>
      </c>
      <c r="C12" s="7" t="inlineStr"/>
      <c r="D12" s="22" t="inlineStr">
        <is>
          <t>BOB</t>
        </is>
      </c>
      <c r="E12" s="23" t="n">
        <v>40</v>
      </c>
      <c r="F12" s="23" t="n">
        <v>55</v>
      </c>
      <c r="G12" s="24">
        <f>IF($D12="","",E12/INDEX('Taux de change'!$B$5:$B$8,MATCH($D12,'Taux de change'!$A$5:$A$8,0)))</f>
        <v/>
      </c>
      <c r="H12" s="24">
        <f>IF($D12="","",F12/INDEX('Taux de change'!$B$5:$B$8,MATCH($D12,'Taux de change'!$A$5:$A$8,0)))</f>
        <v/>
      </c>
      <c r="I12" s="7" t="inlineStr">
        <is>
          <t>Espèces</t>
        </is>
      </c>
    </row>
    <row r="13">
      <c r="A13" s="9" t="inlineStr">
        <is>
          <t>14h00–15h00</t>
        </is>
      </c>
      <c r="B13" s="10" t="inlineStr">
        <is>
          <t>Ticket communautaire — secteur nord (Challapampa, Roca Sagrada, Chincana)</t>
        </is>
      </c>
      <c r="C13" s="11" t="inlineStr">
        <is>
          <t>IMPORTANT : l'accès au nord de l'île est périodiquement fermé pour conflit entre communautés. Vérifiez AVANT d'acheter le bateau ; si c'est fermé, ce coût tombe.</t>
        </is>
      </c>
      <c r="D13" s="25" t="inlineStr">
        <is>
          <t>BOB</t>
        </is>
      </c>
      <c r="E13" s="26" t="n">
        <v>0</v>
      </c>
      <c r="F13" s="26" t="n">
        <v>25</v>
      </c>
      <c r="G13" s="27">
        <f>IF($D13="","",E13/INDEX('Taux de change'!$B$5:$B$8,MATCH($D13,'Taux de change'!$A$5:$A$8,0)))</f>
        <v/>
      </c>
      <c r="H13" s="27">
        <f>IF($D13="","",F13/INDEX('Taux de change'!$B$5:$B$8,MATCH($D13,'Taux de change'!$A$5:$A$8,0)))</f>
        <v/>
      </c>
      <c r="I13" s="11" t="inlineStr">
        <is>
          <t>Espèces (exact)</t>
        </is>
      </c>
    </row>
    <row r="14">
      <c r="A14" s="5" t="inlineStr">
        <is>
          <t>15h30–17h00</t>
        </is>
      </c>
      <c r="B14" s="6" t="inlineStr">
        <is>
          <t>BATEAU retour Yumani → Copacabana</t>
        </is>
      </c>
      <c r="C14" s="7" t="inlineStr">
        <is>
          <t>Dernier départ 16h00 — ne pas le rater, il n'y a pas de suivant.</t>
        </is>
      </c>
      <c r="D14" s="30" t="n"/>
      <c r="E14" s="31" t="n"/>
      <c r="F14" s="31" t="n"/>
      <c r="G14" s="31" t="n"/>
      <c r="H14" s="31" t="n"/>
      <c r="I14" s="7" t="inlineStr">
        <is>
          <t>—</t>
        </is>
      </c>
    </row>
    <row r="15">
      <c r="A15" s="9" t="inlineStr">
        <is>
          <t>17h00–18h30</t>
        </is>
      </c>
      <c r="B15" s="10" t="inlineStr">
        <is>
          <t>Marché artisanal (alpaga, aguayos) + change complémentaire</t>
        </is>
      </c>
      <c r="C15" s="11" t="inlineStr"/>
      <c r="D15" s="25" t="inlineStr">
        <is>
          <t>BOB</t>
        </is>
      </c>
      <c r="E15" s="26" t="n">
        <v>0</v>
      </c>
      <c r="F15" s="26" t="n">
        <v>80</v>
      </c>
      <c r="G15" s="27">
        <f>IF($D15="","",E15/INDEX('Taux de change'!$B$5:$B$8,MATCH($D15,'Taux de change'!$A$5:$A$8,0)))</f>
        <v/>
      </c>
      <c r="H15" s="27">
        <f>IF($D15="","",F15/INDEX('Taux de change'!$B$5:$B$8,MATCH($D15,'Taux de change'!$A$5:$A$8,0)))</f>
        <v/>
      </c>
      <c r="I15" s="11" t="inlineStr">
        <is>
          <t>Espèces</t>
        </is>
      </c>
    </row>
    <row r="16">
      <c r="A16" s="5" t="inlineStr">
        <is>
          <t>19h00–20h00</t>
        </is>
      </c>
      <c r="B16" s="6" t="inlineStr">
        <is>
          <t>Dîner</t>
        </is>
      </c>
      <c r="C16" s="7" t="inlineStr"/>
      <c r="D16" s="22" t="inlineStr">
        <is>
          <t>BOB</t>
        </is>
      </c>
      <c r="E16" s="23" t="n">
        <v>30</v>
      </c>
      <c r="F16" s="23" t="n">
        <v>45</v>
      </c>
      <c r="G16" s="24">
        <f>IF($D16="","",E16/INDEX('Taux de change'!$B$5:$B$8,MATCH($D16,'Taux de change'!$A$5:$A$8,0)))</f>
        <v/>
      </c>
      <c r="H16" s="24">
        <f>IF($D16="","",F16/INDEX('Taux de change'!$B$5:$B$8,MATCH($D16,'Taux de change'!$A$5:$A$8,0)))</f>
        <v/>
      </c>
      <c r="I16" s="7" t="inlineStr">
        <is>
          <t>Espèces</t>
        </is>
      </c>
    </row>
    <row r="17">
      <c r="A17" s="9" t="inlineStr">
        <is>
          <t>Nuit</t>
        </is>
      </c>
      <c r="B17" s="10" t="inlineStr">
        <is>
          <t>Hostal Copacabana (2ᵉ nuit)</t>
        </is>
      </c>
      <c r="C17" s="11" t="inlineStr"/>
      <c r="D17" s="25" t="inlineStr">
        <is>
          <t>BOB</t>
        </is>
      </c>
      <c r="E17" s="26" t="n">
        <v>60</v>
      </c>
      <c r="F17" s="26" t="n">
        <v>110</v>
      </c>
      <c r="G17" s="27">
        <f>IF($D17="","",E17/INDEX('Taux de change'!$B$5:$B$8,MATCH($D17,'Taux de change'!$A$5:$A$8,0)))</f>
        <v/>
      </c>
      <c r="H17" s="27">
        <f>IF($D17="","",F17/INDEX('Taux de change'!$B$5:$B$8,MATCH($D17,'Taux de change'!$A$5:$A$8,0)))</f>
        <v/>
      </c>
      <c r="I17" s="11" t="inlineStr">
        <is>
          <t>Espèces</t>
        </is>
      </c>
    </row>
    <row r="19">
      <c r="A19" s="13" t="inlineStr">
        <is>
          <t>TOTAL JOUR 4</t>
        </is>
      </c>
      <c r="B19" s="13" t="n"/>
      <c r="C19" s="13" t="n"/>
      <c r="D19" s="13" t="n"/>
      <c r="E19" s="13" t="n"/>
      <c r="F19" s="13" t="n"/>
      <c r="G19" s="14">
        <f>SUM(G6:G17)</f>
        <v/>
      </c>
      <c r="H19" s="14">
        <f>SUM(H6:H17)</f>
        <v/>
      </c>
      <c r="I19" s="13" t="n"/>
    </row>
    <row r="21">
      <c r="A21" s="15" t="inlineStr">
        <is>
          <t>Détail par devise</t>
        </is>
      </c>
    </row>
    <row r="22">
      <c r="A22" s="16" t="inlineStr">
        <is>
          <t>Total Bs (BOB)</t>
        </is>
      </c>
      <c r="E22" s="32">
        <f>SUMIF($D$6:$D$17,"BOB",E6:E17)</f>
        <v/>
      </c>
      <c r="F22" s="32">
        <f>SUMIF($D$6:$D$17,"BOB",F6:F17)</f>
        <v/>
      </c>
    </row>
    <row r="24">
      <c r="A24" s="3" t="inlineStr">
        <is>
          <t>Colonnes E et F = fourchette basse / haute en monnaie locale. Colonnes G et H = conversion automatique via la feuille « Taux de change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3"/>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5 — COPACABANA → LA PAZ</t>
        </is>
      </c>
    </row>
    <row r="2">
      <c r="A2" s="2" t="inlineStr">
        <is>
          <t>Détroit de Tiquina et descente sur La Paz</t>
        </is>
      </c>
    </row>
    <row r="3">
      <c r="A3" s="3" t="inlineStr">
        <is>
          <t>Altitude : 3 640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07h30–08h15</t>
        </is>
      </c>
      <c r="B6" s="6" t="inlineStr">
        <is>
          <t>Petit-déjeuner</t>
        </is>
      </c>
      <c r="C6" s="7" t="inlineStr"/>
      <c r="D6" s="22" t="inlineStr">
        <is>
          <t>BOB</t>
        </is>
      </c>
      <c r="E6" s="23" t="n">
        <v>12</v>
      </c>
      <c r="F6" s="23" t="n">
        <v>20</v>
      </c>
      <c r="G6" s="24">
        <f>IF($D6="","",E6/INDEX('Taux de change'!$B$5:$B$8,MATCH($D6,'Taux de change'!$A$5:$A$8,0)))</f>
        <v/>
      </c>
      <c r="H6" s="24">
        <f>IF($D6="","",F6/INDEX('Taux de change'!$B$5:$B$8,MATCH($D6,'Taux de change'!$A$5:$A$8,0)))</f>
        <v/>
      </c>
      <c r="I6" s="7" t="inlineStr">
        <is>
          <t>Espèces</t>
        </is>
      </c>
    </row>
    <row r="7">
      <c r="A7" s="9" t="inlineStr">
        <is>
          <t>08h15–11h00</t>
        </is>
      </c>
      <c r="B7" s="10" t="inlineStr">
        <is>
          <t>Matinée libre : Horca del Inca (observatoire pré-inca, 30 min de montée) et plage</t>
        </is>
      </c>
      <c r="C7" s="11" t="inlineStr"/>
      <c r="D7" s="25" t="inlineStr">
        <is>
          <t>BOB</t>
        </is>
      </c>
      <c r="E7" s="26" t="n">
        <v>10</v>
      </c>
      <c r="F7" s="26" t="n">
        <v>15</v>
      </c>
      <c r="G7" s="27">
        <f>IF($D7="","",E7/INDEX('Taux de change'!$B$5:$B$8,MATCH($D7,'Taux de change'!$A$5:$A$8,0)))</f>
        <v/>
      </c>
      <c r="H7" s="27">
        <f>IF($D7="","",F7/INDEX('Taux de change'!$B$5:$B$8,MATCH($D7,'Taux de change'!$A$5:$A$8,0)))</f>
        <v/>
      </c>
      <c r="I7" s="11" t="inlineStr">
        <is>
          <t>Espèces</t>
        </is>
      </c>
    </row>
    <row r="8">
      <c r="A8" s="5" t="inlineStr">
        <is>
          <t>11h00–12h30</t>
        </is>
      </c>
      <c r="B8" s="6" t="inlineStr">
        <is>
          <t>Almuerzo + courses pour la route</t>
        </is>
      </c>
      <c r="C8" s="7" t="inlineStr"/>
      <c r="D8" s="22" t="inlineStr">
        <is>
          <t>BOB</t>
        </is>
      </c>
      <c r="E8" s="23" t="n">
        <v>30</v>
      </c>
      <c r="F8" s="23" t="n">
        <v>45</v>
      </c>
      <c r="G8" s="24">
        <f>IF($D8="","",E8/INDEX('Taux de change'!$B$5:$B$8,MATCH($D8,'Taux de change'!$A$5:$A$8,0)))</f>
        <v/>
      </c>
      <c r="H8" s="24">
        <f>IF($D8="","",F8/INDEX('Taux de change'!$B$5:$B$8,MATCH($D8,'Taux de change'!$A$5:$A$8,0)))</f>
        <v/>
      </c>
      <c r="I8" s="7" t="inlineStr">
        <is>
          <t>Espèces</t>
        </is>
      </c>
    </row>
    <row r="9">
      <c r="A9" s="9" t="inlineStr">
        <is>
          <t>12h30–13h15</t>
        </is>
      </c>
      <c r="B9" s="10" t="inlineStr">
        <is>
          <t>Achat du billet — bus public (Manco Kapac, Trans Titicaca : Bs 30–40) ou bus touristique porte-à-porte (Bolivia Hop, Titicaca Bolivia : Bs 80–100)</t>
        </is>
      </c>
      <c r="C9" s="11" t="inlineStr">
        <is>
          <t>Le bus public part du parc central, le touristique vous dépose à l'hôtel à La Paz.</t>
        </is>
      </c>
      <c r="D9" s="25" t="inlineStr">
        <is>
          <t>BOB</t>
        </is>
      </c>
      <c r="E9" s="26" t="n">
        <v>30</v>
      </c>
      <c r="F9" s="26" t="n">
        <v>100</v>
      </c>
      <c r="G9" s="27">
        <f>IF($D9="","",E9/INDEX('Taux de change'!$B$5:$B$8,MATCH($D9,'Taux de change'!$A$5:$A$8,0)))</f>
        <v/>
      </c>
      <c r="H9" s="27">
        <f>IF($D9="","",F9/INDEX('Taux de change'!$B$5:$B$8,MATCH($D9,'Taux de change'!$A$5:$A$8,0)))</f>
        <v/>
      </c>
      <c r="I9" s="11" t="inlineStr">
        <is>
          <t>Espèces</t>
        </is>
      </c>
    </row>
    <row r="10">
      <c r="A10" s="5" t="inlineStr">
        <is>
          <t>13h30–14h45</t>
        </is>
      </c>
      <c r="B10" s="6" t="inlineStr">
        <is>
          <t>BUS Copacabana → San Pablo de Tiquina (45 km)</t>
        </is>
      </c>
      <c r="C10" s="7" t="inlineStr"/>
      <c r="D10" s="30" t="n"/>
      <c r="E10" s="31" t="n"/>
      <c r="F10" s="31" t="n"/>
      <c r="G10" s="31" t="n"/>
      <c r="H10" s="31" t="n"/>
      <c r="I10" s="7" t="inlineStr">
        <is>
          <t>—</t>
        </is>
      </c>
    </row>
    <row r="11">
      <c r="A11" s="9" t="inlineStr">
        <is>
          <t>14h45–15h15</t>
        </is>
      </c>
      <c r="B11" s="10" t="inlineStr">
        <is>
          <t>DÉTROIT DE TIQUINA — vous traversez en barque à moteur, le bus passe sur une barge en bois</t>
        </is>
      </c>
      <c r="C11" s="11" t="inlineStr">
        <is>
          <t>JAMAIS inclus dans le billet. Prévoyez la monnaie exacte, on ne rend pas.</t>
        </is>
      </c>
      <c r="D11" s="25" t="inlineStr">
        <is>
          <t>BOB</t>
        </is>
      </c>
      <c r="E11" s="26" t="n">
        <v>2</v>
      </c>
      <c r="F11" s="26" t="n">
        <v>3</v>
      </c>
      <c r="G11" s="27">
        <f>IF($D11="","",E11/INDEX('Taux de change'!$B$5:$B$8,MATCH($D11,'Taux de change'!$A$5:$A$8,0)))</f>
        <v/>
      </c>
      <c r="H11" s="27">
        <f>IF($D11="","",F11/INDEX('Taux de change'!$B$5:$B$8,MATCH($D11,'Taux de change'!$A$5:$A$8,0)))</f>
        <v/>
      </c>
      <c r="I11" s="11" t="inlineStr">
        <is>
          <t>Espèces (exact)</t>
        </is>
      </c>
    </row>
    <row r="12">
      <c r="A12" s="5" t="inlineStr">
        <is>
          <t>15h15–17h30</t>
        </is>
      </c>
      <c r="B12" s="6" t="inlineStr">
        <is>
          <t>Route Tiquina → La Paz (155 km) par l'Altiplano, entrée par El Alto et la descente sur la cuvette</t>
        </is>
      </c>
      <c r="C12" s="7" t="inlineStr"/>
      <c r="D12" s="30" t="n"/>
      <c r="E12" s="31" t="n"/>
      <c r="F12" s="31" t="n"/>
      <c r="G12" s="31" t="n"/>
      <c r="H12" s="31" t="n"/>
      <c r="I12" s="7" t="inlineStr">
        <is>
          <t>—</t>
        </is>
      </c>
    </row>
    <row r="13">
      <c r="A13" s="9" t="inlineStr">
        <is>
          <t>17h30–18h00</t>
        </is>
      </c>
      <c r="B13" s="10" t="inlineStr">
        <is>
          <t>Arrivée (Cementerio pour les bus publics / Terminal pour les autres) + taxi vers Sopocachi ou San Pedro</t>
        </is>
      </c>
      <c r="C13" s="11" t="inlineStr">
        <is>
          <t>Quartier Cementerio peu sûr à la nuit tombée : prenez un taxi radio, pas un taxi blanc non identifié.</t>
        </is>
      </c>
      <c r="D13" s="25" t="inlineStr">
        <is>
          <t>BOB</t>
        </is>
      </c>
      <c r="E13" s="26" t="n">
        <v>20</v>
      </c>
      <c r="F13" s="26" t="n">
        <v>35</v>
      </c>
      <c r="G13" s="27">
        <f>IF($D13="","",E13/INDEX('Taux de change'!$B$5:$B$8,MATCH($D13,'Taux de change'!$A$5:$A$8,0)))</f>
        <v/>
      </c>
      <c r="H13" s="27">
        <f>IF($D13="","",F13/INDEX('Taux de change'!$B$5:$B$8,MATCH($D13,'Taux de change'!$A$5:$A$8,0)))</f>
        <v/>
      </c>
      <c r="I13" s="11" t="inlineStr">
        <is>
          <t>Espèces</t>
        </is>
      </c>
    </row>
    <row r="14">
      <c r="A14" s="5" t="inlineStr">
        <is>
          <t>18h00–18h30</t>
        </is>
      </c>
      <c r="B14" s="6" t="inlineStr">
        <is>
          <t>Check-in hostel La Paz — lit en dortoir (privée : Bs 180–280)</t>
        </is>
      </c>
      <c r="C14" s="7" t="inlineStr"/>
      <c r="D14" s="22" t="inlineStr">
        <is>
          <t>BOB</t>
        </is>
      </c>
      <c r="E14" s="23" t="n">
        <v>70</v>
      </c>
      <c r="F14" s="23" t="n">
        <v>125</v>
      </c>
      <c r="G14" s="24">
        <f>IF($D14="","",E14/INDEX('Taux de change'!$B$5:$B$8,MATCH($D14,'Taux de change'!$A$5:$A$8,0)))</f>
        <v/>
      </c>
      <c r="H14" s="24">
        <f>IF($D14="","",F14/INDEX('Taux de change'!$B$5:$B$8,MATCH($D14,'Taux de change'!$A$5:$A$8,0)))</f>
        <v/>
      </c>
      <c r="I14" s="7" t="inlineStr">
        <is>
          <t>CB / esp.</t>
        </is>
      </c>
    </row>
    <row r="15">
      <c r="A15" s="9" t="inlineStr">
        <is>
          <t>19h00–20h30</t>
        </is>
      </c>
      <c r="B15" s="10" t="inlineStr">
        <is>
          <t>Dîner à Sopocachi : plat + bière Paceña</t>
        </is>
      </c>
      <c r="C15" s="11" t="inlineStr">
        <is>
          <t>Majoration de 5 % fréquente en cas de paiement par carte.</t>
        </is>
      </c>
      <c r="D15" s="25" t="inlineStr">
        <is>
          <t>BOB</t>
        </is>
      </c>
      <c r="E15" s="26" t="n">
        <v>45</v>
      </c>
      <c r="F15" s="26" t="n">
        <v>70</v>
      </c>
      <c r="G15" s="27">
        <f>IF($D15="","",E15/INDEX('Taux de change'!$B$5:$B$8,MATCH($D15,'Taux de change'!$A$5:$A$8,0)))</f>
        <v/>
      </c>
      <c r="H15" s="27">
        <f>IF($D15="","",F15/INDEX('Taux de change'!$B$5:$B$8,MATCH($D15,'Taux de change'!$A$5:$A$8,0)))</f>
        <v/>
      </c>
      <c r="I15" s="11" t="inlineStr">
        <is>
          <t>CB / esp.</t>
        </is>
      </c>
    </row>
    <row r="16">
      <c r="A16" s="5" t="inlineStr">
        <is>
          <t>—</t>
        </is>
      </c>
      <c r="B16" s="6" t="inlineStr">
        <is>
          <t>Retrait au DAB (BCP, Banco Unión, Mercantil Santa Cruz)</t>
        </is>
      </c>
      <c r="C16" s="7" t="inlineStr">
        <is>
          <t>Plafonds fréquents de Bs 700–2 000 par retrait et DAB souvent vides le week-end. Retirez tôt et large.</t>
        </is>
      </c>
      <c r="D16" s="22" t="inlineStr">
        <is>
          <t>BOB</t>
        </is>
      </c>
      <c r="E16" s="23" t="n">
        <v>25</v>
      </c>
      <c r="F16" s="23" t="n">
        <v>35</v>
      </c>
      <c r="G16" s="24">
        <f>IF($D16="","",E16/INDEX('Taux de change'!$B$5:$B$8,MATCH($D16,'Taux de change'!$A$5:$A$8,0)))</f>
        <v/>
      </c>
      <c r="H16" s="24">
        <f>IF($D16="","",F16/INDEX('Taux de change'!$B$5:$B$8,MATCH($D16,'Taux de change'!$A$5:$A$8,0)))</f>
        <v/>
      </c>
      <c r="I16" s="7" t="inlineStr">
        <is>
          <t>Espèces</t>
        </is>
      </c>
    </row>
    <row r="18">
      <c r="A18" s="13" t="inlineStr">
        <is>
          <t>TOTAL JOUR 5</t>
        </is>
      </c>
      <c r="B18" s="13" t="n"/>
      <c r="C18" s="13" t="n"/>
      <c r="D18" s="13" t="n"/>
      <c r="E18" s="13" t="n"/>
      <c r="F18" s="13" t="n"/>
      <c r="G18" s="14">
        <f>SUM(G6:G16)</f>
        <v/>
      </c>
      <c r="H18" s="14">
        <f>SUM(H6:H16)</f>
        <v/>
      </c>
      <c r="I18" s="13" t="n"/>
    </row>
    <row r="20">
      <c r="A20" s="15" t="inlineStr">
        <is>
          <t>Détail par devise</t>
        </is>
      </c>
    </row>
    <row r="21">
      <c r="A21" s="16" t="inlineStr">
        <is>
          <t>Total Bs (BOB)</t>
        </is>
      </c>
      <c r="E21" s="32">
        <f>SUMIF($D$6:$D$16,"BOB",E6:E16)</f>
        <v/>
      </c>
      <c r="F21" s="32">
        <f>SUMIF($D$6:$D$16,"BOB",F6:F16)</f>
        <v/>
      </c>
    </row>
    <row r="23">
      <c r="A23" s="3" t="inlineStr">
        <is>
          <t>Colonnes E et F = fourchette basse / haute en monnaie locale. Colonnes G et H = conversion automatique via la feuille « Taux de change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6 — LA PAZ — jour 1</t>
        </is>
      </c>
    </row>
    <row r="2">
      <c r="A2" s="2" t="inlineStr">
        <is>
          <t>Téléphériques, El Alto, marchés et miradors</t>
        </is>
      </c>
    </row>
    <row r="3">
      <c r="A3" s="3" t="inlineStr">
        <is>
          <t>Altitude : 3 640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07h30–08h30</t>
        </is>
      </c>
      <c r="B6" s="6" t="inlineStr">
        <is>
          <t>Petit-déjeuner : api con pastel au Mercado Rodríguez</t>
        </is>
      </c>
      <c r="C6" s="7" t="inlineStr"/>
      <c r="D6" s="22" t="inlineStr">
        <is>
          <t>BOB</t>
        </is>
      </c>
      <c r="E6" s="23" t="n">
        <v>10</v>
      </c>
      <c r="F6" s="23" t="n">
        <v>18</v>
      </c>
      <c r="G6" s="24">
        <f>IF($D6="","",E6/INDEX('Taux de change'!$B$5:$B$8,MATCH($D6,'Taux de change'!$A$5:$A$8,0)))</f>
        <v/>
      </c>
      <c r="H6" s="24">
        <f>IF($D6="","",F6/INDEX('Taux de change'!$B$5:$B$8,MATCH($D6,'Taux de change'!$A$5:$A$8,0)))</f>
        <v/>
      </c>
      <c r="I6" s="7" t="inlineStr">
        <is>
          <t>Espèces</t>
        </is>
      </c>
    </row>
    <row r="7">
      <c r="A7" s="9" t="inlineStr">
        <is>
          <t>09h00–12h00</t>
        </is>
      </c>
      <c r="B7" s="10" t="inlineStr">
        <is>
          <t>Free walking tour (Red Cap Walking Tours, départ 11h00 Plaza San Pedro) — pourboire attendu</t>
        </is>
      </c>
      <c r="C7" s="11" t="inlineStr"/>
      <c r="D7" s="25" t="inlineStr">
        <is>
          <t>BOB</t>
        </is>
      </c>
      <c r="E7" s="26" t="n">
        <v>50</v>
      </c>
      <c r="F7" s="26" t="n">
        <v>80</v>
      </c>
      <c r="G7" s="27">
        <f>IF($D7="","",E7/INDEX('Taux de change'!$B$5:$B$8,MATCH($D7,'Taux de change'!$A$5:$A$8,0)))</f>
        <v/>
      </c>
      <c r="H7" s="27">
        <f>IF($D7="","",F7/INDEX('Taux de change'!$B$5:$B$8,MATCH($D7,'Taux de change'!$A$5:$A$8,0)))</f>
        <v/>
      </c>
      <c r="I7" s="11" t="inlineStr">
        <is>
          <t>Espèces</t>
        </is>
      </c>
    </row>
    <row r="8">
      <c r="A8" s="5" t="inlineStr">
        <is>
          <t>12h00–12h15</t>
        </is>
      </c>
      <c r="B8" s="6" t="inlineStr">
        <is>
          <t>Mi Teleférico — ligne Rouge : Estación Central → El Alto (16 de Julio), 4 000 m</t>
        </is>
      </c>
      <c r="C8" s="7" t="inlineStr"/>
      <c r="D8" s="22" t="inlineStr">
        <is>
          <t>BOB</t>
        </is>
      </c>
      <c r="E8" s="23" t="n">
        <v>3</v>
      </c>
      <c r="F8" s="23" t="n">
        <v>3</v>
      </c>
      <c r="G8" s="24">
        <f>IF($D8="","",E8/INDEX('Taux de change'!$B$5:$B$8,MATCH($D8,'Taux de change'!$A$5:$A$8,0)))</f>
        <v/>
      </c>
      <c r="H8" s="24">
        <f>IF($D8="","",F8/INDEX('Taux de change'!$B$5:$B$8,MATCH($D8,'Taux de change'!$A$5:$A$8,0)))</f>
        <v/>
      </c>
      <c r="I8" s="7" t="inlineStr">
        <is>
          <t>Espèces / QR</t>
        </is>
      </c>
    </row>
    <row r="9">
      <c r="A9" s="9" t="inlineStr">
        <is>
          <t>12h15–13h30</t>
        </is>
      </c>
      <c r="B9" s="10" t="inlineStr">
        <is>
          <t>Mirador d'El Alto sur toute la cuvette + Feria 16 de Julio (jeudi et dimanche, l'un des plus grands marchés d'Amérique du Sud)</t>
        </is>
      </c>
      <c r="C9" s="11" t="inlineStr">
        <is>
          <t>Pickpockets nombreux à la Feria : sac devant, pas de téléphone en main.</t>
        </is>
      </c>
      <c r="D9" s="33" t="n"/>
      <c r="E9" s="34" t="n"/>
      <c r="F9" s="34" t="n"/>
      <c r="G9" s="34" t="n"/>
      <c r="H9" s="34" t="n"/>
      <c r="I9" s="11" t="inlineStr">
        <is>
          <t>—</t>
        </is>
      </c>
    </row>
    <row r="10">
      <c r="A10" s="5" t="inlineStr">
        <is>
          <t>13h30–14h30</t>
        </is>
      </c>
      <c r="B10" s="6" t="inlineStr">
        <is>
          <t>Almuerzo complet (sopa + segundo + refresco) dans un comedor local</t>
        </is>
      </c>
      <c r="C10" s="7" t="inlineStr"/>
      <c r="D10" s="22" t="inlineStr">
        <is>
          <t>BOB</t>
        </is>
      </c>
      <c r="E10" s="23" t="n">
        <v>20</v>
      </c>
      <c r="F10" s="23" t="n">
        <v>35</v>
      </c>
      <c r="G10" s="24">
        <f>IF($D10="","",E10/INDEX('Taux de change'!$B$5:$B$8,MATCH($D10,'Taux de change'!$A$5:$A$8,0)))</f>
        <v/>
      </c>
      <c r="H10" s="24">
        <f>IF($D10="","",F10/INDEX('Taux de change'!$B$5:$B$8,MATCH($D10,'Taux de change'!$A$5:$A$8,0)))</f>
        <v/>
      </c>
      <c r="I10" s="7" t="inlineStr">
        <is>
          <t>Espèces</t>
        </is>
      </c>
    </row>
    <row r="11">
      <c r="A11" s="9" t="inlineStr">
        <is>
          <t>14h30–14h45</t>
        </is>
      </c>
      <c r="B11" s="10" t="inlineStr">
        <is>
          <t>Mi Teléferico — lignes Bleue puis Blanche (retour + vue sur l'Illimani)</t>
        </is>
      </c>
      <c r="C11" s="11" t="inlineStr"/>
      <c r="D11" s="25" t="inlineStr">
        <is>
          <t>BOB</t>
        </is>
      </c>
      <c r="E11" s="26" t="n">
        <v>5</v>
      </c>
      <c r="F11" s="26" t="n">
        <v>6</v>
      </c>
      <c r="G11" s="27">
        <f>IF($D11="","",E11/INDEX('Taux de change'!$B$5:$B$8,MATCH($D11,'Taux de change'!$A$5:$A$8,0)))</f>
        <v/>
      </c>
      <c r="H11" s="27">
        <f>IF($D11="","",F11/INDEX('Taux de change'!$B$5:$B$8,MATCH($D11,'Taux de change'!$A$5:$A$8,0)))</f>
        <v/>
      </c>
      <c r="I11" s="11" t="inlineStr">
        <is>
          <t>Espèces / QR</t>
        </is>
      </c>
    </row>
    <row r="12">
      <c r="A12" s="5" t="inlineStr">
        <is>
          <t>15h00–16h00</t>
        </is>
      </c>
      <c r="B12" s="6" t="inlineStr">
        <is>
          <t>Mercado de las Brujas + Calle Sagárnaga + Calle Jaén (rue coloniale)</t>
        </is>
      </c>
      <c r="C12" s="7" t="inlineStr"/>
      <c r="D12" s="30" t="n"/>
      <c r="E12" s="31" t="n"/>
      <c r="F12" s="31" t="n"/>
      <c r="G12" s="31" t="n"/>
      <c r="H12" s="31" t="n"/>
      <c r="I12" s="7" t="inlineStr">
        <is>
          <t>—</t>
        </is>
      </c>
    </row>
    <row r="13">
      <c r="A13" s="9" t="inlineStr">
        <is>
          <t>16h00–17h00</t>
        </is>
      </c>
      <c r="B13" s="10" t="inlineStr">
        <is>
          <t>Musée San Francisco : cloître, catacombes, toits</t>
        </is>
      </c>
      <c r="C13" s="11" t="inlineStr"/>
      <c r="D13" s="25" t="inlineStr">
        <is>
          <t>BOB</t>
        </is>
      </c>
      <c r="E13" s="26" t="n">
        <v>25</v>
      </c>
      <c r="F13" s="26" t="n">
        <v>30</v>
      </c>
      <c r="G13" s="27">
        <f>IF($D13="","",E13/INDEX('Taux de change'!$B$5:$B$8,MATCH($D13,'Taux de change'!$A$5:$A$8,0)))</f>
        <v/>
      </c>
      <c r="H13" s="27">
        <f>IF($D13="","",F13/INDEX('Taux de change'!$B$5:$B$8,MATCH($D13,'Taux de change'!$A$5:$A$8,0)))</f>
        <v/>
      </c>
      <c r="I13" s="11" t="inlineStr">
        <is>
          <t>Espèces</t>
        </is>
      </c>
    </row>
    <row r="14">
      <c r="A14" s="5" t="inlineStr">
        <is>
          <t>17h00–18h00</t>
        </is>
      </c>
      <c r="B14" s="6" t="inlineStr">
        <is>
          <t>Museo Nacional de Etnografía y Folklore (MUSEF)</t>
        </is>
      </c>
      <c r="C14" s="7" t="inlineStr"/>
      <c r="D14" s="22" t="inlineStr">
        <is>
          <t>BOB</t>
        </is>
      </c>
      <c r="E14" s="23" t="n">
        <v>20</v>
      </c>
      <c r="F14" s="23" t="n">
        <v>20</v>
      </c>
      <c r="G14" s="24">
        <f>IF($D14="","",E14/INDEX('Taux de change'!$B$5:$B$8,MATCH($D14,'Taux de change'!$A$5:$A$8,0)))</f>
        <v/>
      </c>
      <c r="H14" s="24">
        <f>IF($D14="","",F14/INDEX('Taux de change'!$B$5:$B$8,MATCH($D14,'Taux de change'!$A$5:$A$8,0)))</f>
        <v/>
      </c>
      <c r="I14" s="7" t="inlineStr">
        <is>
          <t>Espèces</t>
        </is>
      </c>
    </row>
    <row r="15">
      <c r="A15" s="9" t="inlineStr">
        <is>
          <t>18h00–18h30</t>
        </is>
      </c>
      <c r="B15" s="10" t="inlineStr">
        <is>
          <t>Taxi → Mirador Killi Killi, coucher de soleil sur la cuvette</t>
        </is>
      </c>
      <c r="C15" s="11" t="inlineStr"/>
      <c r="D15" s="25" t="inlineStr">
        <is>
          <t>BOB</t>
        </is>
      </c>
      <c r="E15" s="26" t="n">
        <v>25</v>
      </c>
      <c r="F15" s="26" t="n">
        <v>35</v>
      </c>
      <c r="G15" s="27">
        <f>IF($D15="","",E15/INDEX('Taux de change'!$B$5:$B$8,MATCH($D15,'Taux de change'!$A$5:$A$8,0)))</f>
        <v/>
      </c>
      <c r="H15" s="27">
        <f>IF($D15="","",F15/INDEX('Taux de change'!$B$5:$B$8,MATCH($D15,'Taux de change'!$A$5:$A$8,0)))</f>
        <v/>
      </c>
      <c r="I15" s="11" t="inlineStr">
        <is>
          <t>Espèces</t>
        </is>
      </c>
    </row>
    <row r="16">
      <c r="A16" s="5" t="inlineStr">
        <is>
          <t>19h30–21h00</t>
        </is>
      </c>
      <c r="B16" s="6" t="inlineStr">
        <is>
          <t>Dîner (Popular Cocina Boliviana, Ali Pacha ou marché Sopocachi)</t>
        </is>
      </c>
      <c r="C16" s="7" t="inlineStr"/>
      <c r="D16" s="22" t="inlineStr">
        <is>
          <t>BOB</t>
        </is>
      </c>
      <c r="E16" s="23" t="n">
        <v>45</v>
      </c>
      <c r="F16" s="23" t="n">
        <v>80</v>
      </c>
      <c r="G16" s="24">
        <f>IF($D16="","",E16/INDEX('Taux de change'!$B$5:$B$8,MATCH($D16,'Taux de change'!$A$5:$A$8,0)))</f>
        <v/>
      </c>
      <c r="H16" s="24">
        <f>IF($D16="","",F16/INDEX('Taux de change'!$B$5:$B$8,MATCH($D16,'Taux de change'!$A$5:$A$8,0)))</f>
        <v/>
      </c>
      <c r="I16" s="7" t="inlineStr">
        <is>
          <t>CB / esp.</t>
        </is>
      </c>
    </row>
    <row r="17">
      <c r="A17" s="9" t="inlineStr">
        <is>
          <t>—</t>
        </is>
      </c>
      <c r="B17" s="10" t="inlineStr">
        <is>
          <t>ACHAT DU BILLET La Paz → Santa Cruz (Trans Copacabana, El Dorado) — bus cama, départ 19h–20h</t>
        </is>
      </c>
      <c r="C17" s="11" t="inlineStr">
        <is>
          <t>Tarif officiel homologué par l'ATT depuis le 02/01/2026 : Bs 232–308 par la route neuve, Bs 246–319 par l'ancienne. Refusez tout prix supérieur.</t>
        </is>
      </c>
      <c r="D17" s="25" t="inlineStr">
        <is>
          <t>BOB</t>
        </is>
      </c>
      <c r="E17" s="26" t="n">
        <v>232</v>
      </c>
      <c r="F17" s="26" t="n">
        <v>319</v>
      </c>
      <c r="G17" s="27">
        <f>IF($D17="","",E17/INDEX('Taux de change'!$B$5:$B$8,MATCH($D17,'Taux de change'!$A$5:$A$8,0)))</f>
        <v/>
      </c>
      <c r="H17" s="27">
        <f>IF($D17="","",F17/INDEX('Taux de change'!$B$5:$B$8,MATCH($D17,'Taux de change'!$A$5:$A$8,0)))</f>
        <v/>
      </c>
      <c r="I17" s="11" t="inlineStr">
        <is>
          <t>CB / esp.</t>
        </is>
      </c>
    </row>
    <row r="18">
      <c r="A18" s="5" t="inlineStr">
        <is>
          <t>Nuit</t>
        </is>
      </c>
      <c r="B18" s="6" t="inlineStr">
        <is>
          <t>Hostel La Paz (2ᵉ nuit)</t>
        </is>
      </c>
      <c r="C18" s="7" t="inlineStr"/>
      <c r="D18" s="22" t="inlineStr">
        <is>
          <t>BOB</t>
        </is>
      </c>
      <c r="E18" s="23" t="n">
        <v>70</v>
      </c>
      <c r="F18" s="23" t="n">
        <v>125</v>
      </c>
      <c r="G18" s="24">
        <f>IF($D18="","",E18/INDEX('Taux de change'!$B$5:$B$8,MATCH($D18,'Taux de change'!$A$5:$A$8,0)))</f>
        <v/>
      </c>
      <c r="H18" s="24">
        <f>IF($D18="","",F18/INDEX('Taux de change'!$B$5:$B$8,MATCH($D18,'Taux de change'!$A$5:$A$8,0)))</f>
        <v/>
      </c>
      <c r="I18" s="7" t="inlineStr">
        <is>
          <t>CB / esp.</t>
        </is>
      </c>
    </row>
    <row r="20">
      <c r="A20" s="13" t="inlineStr">
        <is>
          <t>TOTAL JOUR 6</t>
        </is>
      </c>
      <c r="B20" s="13" t="n"/>
      <c r="C20" s="13" t="n"/>
      <c r="D20" s="13" t="n"/>
      <c r="E20" s="13" t="n"/>
      <c r="F20" s="13" t="n"/>
      <c r="G20" s="14">
        <f>SUM(G6:G18)</f>
        <v/>
      </c>
      <c r="H20" s="14">
        <f>SUM(H6:H18)</f>
        <v/>
      </c>
      <c r="I20" s="13" t="n"/>
    </row>
    <row r="22">
      <c r="A22" s="15" t="inlineStr">
        <is>
          <t>Détail par devise</t>
        </is>
      </c>
    </row>
    <row r="23">
      <c r="A23" s="16" t="inlineStr">
        <is>
          <t>Total Bs (BOB)</t>
        </is>
      </c>
      <c r="E23" s="32">
        <f>SUMIF($D$6:$D$18,"BOB",E6:E18)</f>
        <v/>
      </c>
      <c r="F23" s="32">
        <f>SUMIF($D$6:$D$18,"BOB",F6:F18)</f>
        <v/>
      </c>
    </row>
    <row r="25">
      <c r="A25" s="3" t="inlineStr">
        <is>
          <t>Colonnes E et F = fourchette basse / haute en monnaie locale. Colonnes G et H = conversion automatique via la feuille « Taux de change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7 — LA PAZ — jour 2</t>
        </is>
      </c>
    </row>
    <row r="2">
      <c r="A2" s="2" t="inlineStr">
        <is>
          <t>Route de la Mort à VTT, puis bus de nuit vers Santa Cruz</t>
        </is>
      </c>
    </row>
    <row r="3">
      <c r="A3" s="3" t="inlineStr">
        <is>
          <t>Altitude : 4 650 → 1 200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06h45–07h15</t>
        </is>
      </c>
      <c r="B6" s="6" t="inlineStr">
        <is>
          <t>Petit-déjeuner (inclus dans le tour)</t>
        </is>
      </c>
      <c r="C6" s="7" t="inlineStr"/>
      <c r="D6" s="30" t="n"/>
      <c r="E6" s="31" t="n"/>
      <c r="F6" s="31" t="n"/>
      <c r="G6" s="31" t="n"/>
      <c r="H6" s="31" t="n"/>
      <c r="I6" s="7" t="inlineStr">
        <is>
          <t>—</t>
        </is>
      </c>
    </row>
    <row r="7">
      <c r="A7" s="9" t="inlineStr">
        <is>
          <t>07h15–08h00</t>
        </is>
      </c>
      <c r="B7" s="10" t="inlineStr">
        <is>
          <t>Ramassage à l'agence → La Cumbre (4 650 m)</t>
        </is>
      </c>
      <c r="C7" s="11" t="inlineStr"/>
      <c r="D7" s="33" t="n"/>
      <c r="E7" s="34" t="n"/>
      <c r="F7" s="34" t="n"/>
      <c r="G7" s="34" t="n"/>
      <c r="H7" s="34" t="n"/>
      <c r="I7" s="11" t="inlineStr">
        <is>
          <t>—</t>
        </is>
      </c>
    </row>
    <row r="8">
      <c r="A8" s="5" t="inlineStr">
        <is>
          <t>08h00–15h30</t>
        </is>
      </c>
      <c r="B8" s="6" t="inlineStr">
        <is>
          <t>ROUTE DE LA MORT À VTT — 64 km, 3 500 m de descente, de 4 650 m à 1 200 m (Coroico/Yolosa). Inclus : VTT à double suspension, casque intégral, protections, guide, van suiveur, snacks, déjeuner, douche et T-shirt</t>
        </is>
      </c>
      <c r="C8" s="7" t="inlineStr">
        <is>
          <t>Ne prenez QUE Gravity, Vertigo, Barracuda ou Altitude : il y a des morts chaque année chez les agences à Bs 400. Payable en $ ou Bs ; carte souvent +5 %.</t>
        </is>
      </c>
      <c r="D8" s="22" t="inlineStr">
        <is>
          <t>BOB</t>
        </is>
      </c>
      <c r="E8" s="23" t="n">
        <v>900</v>
      </c>
      <c r="F8" s="23" t="n">
        <v>1320</v>
      </c>
      <c r="G8" s="24">
        <f>IF($D8="","",E8/INDEX('Taux de change'!$B$5:$B$8,MATCH($D8,'Taux de change'!$A$5:$A$8,0)))</f>
        <v/>
      </c>
      <c r="H8" s="24">
        <f>IF($D8="","",F8/INDEX('Taux de change'!$B$5:$B$8,MATCH($D8,'Taux de change'!$A$5:$A$8,0)))</f>
        <v/>
      </c>
      <c r="I8" s="7" t="inlineStr">
        <is>
          <t>CB / esp.</t>
        </is>
      </c>
    </row>
    <row r="9">
      <c r="A9" s="9" t="inlineStr">
        <is>
          <t>—</t>
        </is>
      </c>
      <c r="B9" s="10" t="inlineStr">
        <is>
          <t>ALTERNATIVE ÉCONOMIQUE au lieu du VTT : Valle de la Luna (Bs 30) + Muela del Diablo + Valle de las Ánimas en tour partagé — Bs 150–220 ($12,5–18)</t>
        </is>
      </c>
      <c r="C9" s="11" t="inlineStr">
        <is>
          <t>Non additionné ci-dessous : si vous choisissez cette option, retirez environ Bs 900–1 320 ($75–110) du total du jour.</t>
        </is>
      </c>
      <c r="D9" s="33" t="n"/>
      <c r="E9" s="34" t="n"/>
      <c r="F9" s="34" t="n"/>
      <c r="G9" s="34" t="n"/>
      <c r="H9" s="34" t="n"/>
      <c r="I9" s="11" t="inlineStr">
        <is>
          <t>Espèces</t>
        </is>
      </c>
    </row>
    <row r="10">
      <c r="A10" s="5" t="inlineStr">
        <is>
          <t>15h30–18h30</t>
        </is>
      </c>
      <c r="B10" s="6" t="inlineStr">
        <is>
          <t>Retour vers La Paz (remontée par la nouvelle route des Yungas)</t>
        </is>
      </c>
      <c r="C10" s="7" t="inlineStr"/>
      <c r="D10" s="30" t="n"/>
      <c r="E10" s="31" t="n"/>
      <c r="F10" s="31" t="n"/>
      <c r="G10" s="31" t="n"/>
      <c r="H10" s="31" t="n"/>
      <c r="I10" s="7" t="inlineStr">
        <is>
          <t>—</t>
        </is>
      </c>
    </row>
    <row r="11">
      <c r="A11" s="9" t="inlineStr">
        <is>
          <t>18h30–19h00</t>
        </is>
      </c>
      <c r="B11" s="10" t="inlineStr">
        <is>
          <t>Récupération des sacs à l'hostel + taxi → Terminal de Buses (Plaza Antofagasta)</t>
        </is>
      </c>
      <c r="C11" s="11" t="inlineStr"/>
      <c r="D11" s="25" t="inlineStr">
        <is>
          <t>BOB</t>
        </is>
      </c>
      <c r="E11" s="26" t="n">
        <v>20</v>
      </c>
      <c r="F11" s="26" t="n">
        <v>30</v>
      </c>
      <c r="G11" s="27">
        <f>IF($D11="","",E11/INDEX('Taux de change'!$B$5:$B$8,MATCH($D11,'Taux de change'!$A$5:$A$8,0)))</f>
        <v/>
      </c>
      <c r="H11" s="27">
        <f>IF($D11="","",F11/INDEX('Taux de change'!$B$5:$B$8,MATCH($D11,'Taux de change'!$A$5:$A$8,0)))</f>
        <v/>
      </c>
      <c r="I11" s="11" t="inlineStr">
        <is>
          <t>Espèces</t>
        </is>
      </c>
    </row>
    <row r="12">
      <c r="A12" s="5" t="inlineStr">
        <is>
          <t>19h00–19h15</t>
        </is>
      </c>
      <c r="B12" s="6" t="inlineStr">
        <is>
          <t>Tasa de uso du terminal de La Paz</t>
        </is>
      </c>
      <c r="C12" s="7" t="inlineStr"/>
      <c r="D12" s="22" t="inlineStr">
        <is>
          <t>BOB</t>
        </is>
      </c>
      <c r="E12" s="23" t="n">
        <v>2.5</v>
      </c>
      <c r="F12" s="23" t="n">
        <v>3.5</v>
      </c>
      <c r="G12" s="24">
        <f>IF($D12="","",E12/INDEX('Taux de change'!$B$5:$B$8,MATCH($D12,'Taux de change'!$A$5:$A$8,0)))</f>
        <v/>
      </c>
      <c r="H12" s="24">
        <f>IF($D12="","",F12/INDEX('Taux de change'!$B$5:$B$8,MATCH($D12,'Taux de change'!$A$5:$A$8,0)))</f>
        <v/>
      </c>
      <c r="I12" s="7" t="inlineStr">
        <is>
          <t>Espèces (exact)</t>
        </is>
      </c>
    </row>
    <row r="13">
      <c r="A13" s="9" t="inlineStr">
        <is>
          <t>19h15–19h45</t>
        </is>
      </c>
      <c r="B13" s="10" t="inlineStr">
        <is>
          <t>Courses pour 18 h de route : 3 L d'eau, pain, fruits secs, papier toilette</t>
        </is>
      </c>
      <c r="C13" s="11" t="inlineStr"/>
      <c r="D13" s="25" t="inlineStr">
        <is>
          <t>BOB</t>
        </is>
      </c>
      <c r="E13" s="26" t="n">
        <v>25</v>
      </c>
      <c r="F13" s="26" t="n">
        <v>40</v>
      </c>
      <c r="G13" s="27">
        <f>IF($D13="","",E13/INDEX('Taux de change'!$B$5:$B$8,MATCH($D13,'Taux de change'!$A$5:$A$8,0)))</f>
        <v/>
      </c>
      <c r="H13" s="27">
        <f>IF($D13="","",F13/INDEX('Taux de change'!$B$5:$B$8,MATCH($D13,'Taux de change'!$A$5:$A$8,0)))</f>
        <v/>
      </c>
      <c r="I13" s="11" t="inlineStr">
        <is>
          <t>Espèces</t>
        </is>
      </c>
    </row>
    <row r="14">
      <c r="A14" s="5" t="inlineStr">
        <is>
          <t>20h00</t>
        </is>
      </c>
      <c r="B14" s="6" t="inlineStr">
        <is>
          <t>BUS LA PAZ → SANTA CRUZ — 851 km, ~18 h, bus cama. Descente de 3 640 m à 416 m</t>
        </is>
      </c>
      <c r="C14" s="7" t="inlineStr">
        <is>
          <t>Billet payé la veille. Couverture indispensable : les 6 premières heures sont glaciales, les 6 dernières tropicales.</t>
        </is>
      </c>
      <c r="D14" s="30" t="n"/>
      <c r="E14" s="31" t="n"/>
      <c r="F14" s="31" t="n"/>
      <c r="G14" s="31" t="n"/>
      <c r="H14" s="31" t="n"/>
      <c r="I14" s="7" t="inlineStr">
        <is>
          <t>—</t>
        </is>
      </c>
    </row>
    <row r="15">
      <c r="A15" s="9" t="inlineStr">
        <is>
          <t>Nuit</t>
        </is>
      </c>
      <c r="B15" s="10" t="inlineStr">
        <is>
          <t>Nuit à bord</t>
        </is>
      </c>
      <c r="C15" s="11" t="inlineStr"/>
      <c r="D15" s="33" t="n"/>
      <c r="E15" s="34" t="n"/>
      <c r="F15" s="34" t="n"/>
      <c r="G15" s="34" t="n"/>
      <c r="H15" s="34" t="n"/>
      <c r="I15" s="11" t="inlineStr">
        <is>
          <t>—</t>
        </is>
      </c>
    </row>
    <row r="17">
      <c r="A17" s="13" t="inlineStr">
        <is>
          <t>TOTAL JOUR 7</t>
        </is>
      </c>
      <c r="B17" s="13" t="n"/>
      <c r="C17" s="13" t="n"/>
      <c r="D17" s="13" t="n"/>
      <c r="E17" s="13" t="n"/>
      <c r="F17" s="13" t="n"/>
      <c r="G17" s="14">
        <f>SUM(G6:G15)</f>
        <v/>
      </c>
      <c r="H17" s="14">
        <f>SUM(H6:H15)</f>
        <v/>
      </c>
      <c r="I17" s="13" t="n"/>
    </row>
    <row r="19">
      <c r="A19" s="15" t="inlineStr">
        <is>
          <t>Détail par devise</t>
        </is>
      </c>
    </row>
    <row r="20">
      <c r="A20" s="16" t="inlineStr">
        <is>
          <t>Total Bs (BOB)</t>
        </is>
      </c>
      <c r="E20" s="32">
        <f>SUMIF($D$6:$D$15,"BOB",E6:E15)</f>
        <v/>
      </c>
      <c r="F20" s="32">
        <f>SUMIF($D$6:$D$15,"BOB",F6:F15)</f>
        <v/>
      </c>
    </row>
    <row r="22">
      <c r="A22" s="3" t="inlineStr">
        <is>
          <t>Colonnes E et F = fourchette basse / haute en monnaie locale. Colonnes G et H = conversion automatique via la feuille « Taux de change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8 — SANTA CRUZ (transit)</t>
        </is>
      </c>
    </row>
    <row r="2">
      <c r="A2" s="2" t="inlineStr">
        <is>
          <t>Escale de 6 h puis départ pour le Chaco</t>
        </is>
      </c>
    </row>
    <row r="3">
      <c r="A3" s="3" t="inlineStr">
        <is>
          <t>Altitude : 416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13h00–13h30</t>
        </is>
      </c>
      <c r="B6" s="6" t="inlineStr">
        <is>
          <t>Arrivée Terminal Bimodal de Santa Cruz (chaleur 30–34 °C, humidité)</t>
        </is>
      </c>
      <c r="C6" s="7" t="inlineStr"/>
      <c r="D6" s="30" t="n"/>
      <c r="E6" s="31" t="n"/>
      <c r="F6" s="31" t="n"/>
      <c r="G6" s="31" t="n"/>
      <c r="H6" s="31" t="n"/>
      <c r="I6" s="7" t="inlineStr">
        <is>
          <t>—</t>
        </is>
      </c>
    </row>
    <row r="7">
      <c r="A7" s="9" t="inlineStr">
        <is>
          <t>13h30–13h45</t>
        </is>
      </c>
      <c r="B7" s="10" t="inlineStr">
        <is>
          <t>Consigne à bagages (guarda equipaje), 6 h</t>
        </is>
      </c>
      <c r="C7" s="11" t="inlineStr"/>
      <c r="D7" s="25" t="inlineStr">
        <is>
          <t>BOB</t>
        </is>
      </c>
      <c r="E7" s="26" t="n">
        <v>15</v>
      </c>
      <c r="F7" s="26" t="n">
        <v>25</v>
      </c>
      <c r="G7" s="27">
        <f>IF($D7="","",E7/INDEX('Taux de change'!$B$5:$B$8,MATCH($D7,'Taux de change'!$A$5:$A$8,0)))</f>
        <v/>
      </c>
      <c r="H7" s="27">
        <f>IF($D7="","",F7/INDEX('Taux de change'!$B$5:$B$8,MATCH($D7,'Taux de change'!$A$5:$A$8,0)))</f>
        <v/>
      </c>
      <c r="I7" s="11" t="inlineStr">
        <is>
          <t>Espèces</t>
        </is>
      </c>
    </row>
    <row r="8">
      <c r="A8" s="5" t="inlineStr">
        <is>
          <t>13h45–14h15</t>
        </is>
      </c>
      <c r="B8" s="6" t="inlineStr">
        <is>
          <t>ACHAT DU BILLET Santa Cruz → Asunción — Stel Turismo ou Río Paraguay, départ 19h00 (lun, mar, mer, ven, sam)</t>
        </is>
      </c>
      <c r="C8" s="7" t="inlineStr">
        <is>
          <t>Prix au guichet du terminal. Les agences internationales en ligne (Busbud, Plataforma10) affichent $85–100 pour le même siège : achetez sur place. Réservez dès votre arrivée le matin, il n'y a qu'un départ par jour.</t>
        </is>
      </c>
      <c r="D8" s="22" t="inlineStr">
        <is>
          <t>BOB</t>
        </is>
      </c>
      <c r="E8" s="23" t="n">
        <v>400</v>
      </c>
      <c r="F8" s="23" t="n">
        <v>520</v>
      </c>
      <c r="G8" s="24">
        <f>IF($D8="","",E8/INDEX('Taux de change'!$B$5:$B$8,MATCH($D8,'Taux de change'!$A$5:$A$8,0)))</f>
        <v/>
      </c>
      <c r="H8" s="24">
        <f>IF($D8="","",F8/INDEX('Taux de change'!$B$5:$B$8,MATCH($D8,'Taux de change'!$A$5:$A$8,0)))</f>
        <v/>
      </c>
      <c r="I8" s="7" t="inlineStr">
        <is>
          <t>Espèces</t>
        </is>
      </c>
    </row>
    <row r="9">
      <c r="A9" s="9" t="inlineStr">
        <is>
          <t>14h15–15h00</t>
        </is>
      </c>
      <c r="B9" s="10" t="inlineStr">
        <is>
          <t>Micro n° 12 ou taxi → Plaza 24 de Septiembre</t>
        </is>
      </c>
      <c r="C9" s="11" t="inlineStr"/>
      <c r="D9" s="25" t="inlineStr">
        <is>
          <t>BOB</t>
        </is>
      </c>
      <c r="E9" s="26" t="n">
        <v>2.3</v>
      </c>
      <c r="F9" s="26" t="n">
        <v>30</v>
      </c>
      <c r="G9" s="27">
        <f>IF($D9="","",E9/INDEX('Taux de change'!$B$5:$B$8,MATCH($D9,'Taux de change'!$A$5:$A$8,0)))</f>
        <v/>
      </c>
      <c r="H9" s="27">
        <f>IF($D9="","",F9/INDEX('Taux de change'!$B$5:$B$8,MATCH($D9,'Taux de change'!$A$5:$A$8,0)))</f>
        <v/>
      </c>
      <c r="I9" s="11" t="inlineStr">
        <is>
          <t>Espèces</t>
        </is>
      </c>
    </row>
    <row r="10">
      <c r="A10" s="5" t="inlineStr">
        <is>
          <t>15h00–16h00</t>
        </is>
      </c>
      <c r="B10" s="6" t="inlineStr">
        <is>
          <t>Almuerzo cruceño : majadito ou pollo a la broaster</t>
        </is>
      </c>
      <c r="C10" s="7" t="inlineStr"/>
      <c r="D10" s="22" t="inlineStr">
        <is>
          <t>BOB</t>
        </is>
      </c>
      <c r="E10" s="23" t="n">
        <v>30</v>
      </c>
      <c r="F10" s="23" t="n">
        <v>45</v>
      </c>
      <c r="G10" s="24">
        <f>IF($D10="","",E10/INDEX('Taux de change'!$B$5:$B$8,MATCH($D10,'Taux de change'!$A$5:$A$8,0)))</f>
        <v/>
      </c>
      <c r="H10" s="24">
        <f>IF($D10="","",F10/INDEX('Taux de change'!$B$5:$B$8,MATCH($D10,'Taux de change'!$A$5:$A$8,0)))</f>
        <v/>
      </c>
      <c r="I10" s="7" t="inlineStr">
        <is>
          <t>Espèces</t>
        </is>
      </c>
    </row>
    <row r="11">
      <c r="A11" s="9" t="inlineStr">
        <is>
          <t>16h00–17h30</t>
        </is>
      </c>
      <c r="B11" s="10" t="inlineStr">
        <is>
          <t>Catedral Basílica de San Lorenzo (montée au clocher) + Casco Viejo + Manzana Uno</t>
        </is>
      </c>
      <c r="C11" s="11" t="inlineStr"/>
      <c r="D11" s="25" t="inlineStr">
        <is>
          <t>BOB</t>
        </is>
      </c>
      <c r="E11" s="26" t="n">
        <v>10</v>
      </c>
      <c r="F11" s="26" t="n">
        <v>20</v>
      </c>
      <c r="G11" s="27">
        <f>IF($D11="","",E11/INDEX('Taux de change'!$B$5:$B$8,MATCH($D11,'Taux de change'!$A$5:$A$8,0)))</f>
        <v/>
      </c>
      <c r="H11" s="27">
        <f>IF($D11="","",F11/INDEX('Taux de change'!$B$5:$B$8,MATCH($D11,'Taux de change'!$A$5:$A$8,0)))</f>
        <v/>
      </c>
      <c r="I11" s="11" t="inlineStr">
        <is>
          <t>Espèces</t>
        </is>
      </c>
    </row>
    <row r="12">
      <c r="A12" s="5" t="inlineStr">
        <is>
          <t>17h30–18h00</t>
        </is>
      </c>
      <c r="B12" s="6" t="inlineStr">
        <is>
          <t>Retour au terminal + récupération des sacs</t>
        </is>
      </c>
      <c r="C12" s="7" t="inlineStr"/>
      <c r="D12" s="22" t="inlineStr">
        <is>
          <t>BOB</t>
        </is>
      </c>
      <c r="E12" s="23" t="n">
        <v>10</v>
      </c>
      <c r="F12" s="23" t="n">
        <v>30</v>
      </c>
      <c r="G12" s="24">
        <f>IF($D12="","",E12/INDEX('Taux de change'!$B$5:$B$8,MATCH($D12,'Taux de change'!$A$5:$A$8,0)))</f>
        <v/>
      </c>
      <c r="H12" s="24">
        <f>IF($D12="","",F12/INDEX('Taux de change'!$B$5:$B$8,MATCH($D12,'Taux de change'!$A$5:$A$8,0)))</f>
        <v/>
      </c>
      <c r="I12" s="7" t="inlineStr">
        <is>
          <t>Espèces</t>
        </is>
      </c>
    </row>
    <row r="13">
      <c r="A13" s="9" t="inlineStr">
        <is>
          <t>18h00–18h45</t>
        </is>
      </c>
      <c r="B13" s="10" t="inlineStr">
        <is>
          <t>PROVISIONS OBLIGATOIRES POUR LE CHACO : 5–6 L d'eau, pain, fruits secs, papier toilette, gel hydroalcoolique, répulsif</t>
        </is>
      </c>
      <c r="C13" s="11" t="inlineStr">
        <is>
          <t>24 h de route dans le Chaco sec : quasiment aucun service entre Villamontes et Mariscal Estigarribia.</t>
        </is>
      </c>
      <c r="D13" s="25" t="inlineStr">
        <is>
          <t>BOB</t>
        </is>
      </c>
      <c r="E13" s="26" t="n">
        <v>60</v>
      </c>
      <c r="F13" s="26" t="n">
        <v>90</v>
      </c>
      <c r="G13" s="27">
        <f>IF($D13="","",E13/INDEX('Taux de change'!$B$5:$B$8,MATCH($D13,'Taux de change'!$A$5:$A$8,0)))</f>
        <v/>
      </c>
      <c r="H13" s="27">
        <f>IF($D13="","",F13/INDEX('Taux de change'!$B$5:$B$8,MATCH($D13,'Taux de change'!$A$5:$A$8,0)))</f>
        <v/>
      </c>
      <c r="I13" s="11" t="inlineStr">
        <is>
          <t>Espèces</t>
        </is>
      </c>
    </row>
    <row r="14">
      <c r="A14" s="5" t="inlineStr">
        <is>
          <t>18h45–19h00</t>
        </is>
      </c>
      <c r="B14" s="6" t="inlineStr">
        <is>
          <t>Tasa de uso du Terminal Bimodal</t>
        </is>
      </c>
      <c r="C14" s="7" t="inlineStr"/>
      <c r="D14" s="22" t="inlineStr">
        <is>
          <t>BOB</t>
        </is>
      </c>
      <c r="E14" s="23" t="n">
        <v>5</v>
      </c>
      <c r="F14" s="23" t="n">
        <v>8</v>
      </c>
      <c r="G14" s="24">
        <f>IF($D14="","",E14/INDEX('Taux de change'!$B$5:$B$8,MATCH($D14,'Taux de change'!$A$5:$A$8,0)))</f>
        <v/>
      </c>
      <c r="H14" s="24">
        <f>IF($D14="","",F14/INDEX('Taux de change'!$B$5:$B$8,MATCH($D14,'Taux de change'!$A$5:$A$8,0)))</f>
        <v/>
      </c>
      <c r="I14" s="7" t="inlineStr">
        <is>
          <t>Espèces (exact)</t>
        </is>
      </c>
    </row>
    <row r="15">
      <c r="A15" s="9" t="inlineStr">
        <is>
          <t>19h00</t>
        </is>
      </c>
      <c r="B15" s="10" t="inlineStr">
        <is>
          <t>BUS SANTA CRUZ → ASUNCIÓN — 1 324 km, ~24 h, via Abapó, Camiri, Villamontes, Ruta Transchaco</t>
        </is>
      </c>
      <c r="C15" s="11" t="inlineStr">
        <is>
          <t>Billet payé le matin. Route partiellement dégradée après Villamontes, climatisation aléatoire.</t>
        </is>
      </c>
      <c r="D15" s="33" t="n"/>
      <c r="E15" s="34" t="n"/>
      <c r="F15" s="34" t="n"/>
      <c r="G15" s="34" t="n"/>
      <c r="H15" s="34" t="n"/>
      <c r="I15" s="11" t="inlineStr">
        <is>
          <t>—</t>
        </is>
      </c>
    </row>
    <row r="16">
      <c r="A16" s="5" t="inlineStr">
        <is>
          <t>—</t>
        </is>
      </c>
      <c r="B16" s="6" t="inlineStr">
        <is>
          <t>CONTRÔLE : carnet de vaccination fièvre jaune exigé à l'entrée au Paraguay (voir Annexe B)</t>
        </is>
      </c>
      <c r="C16" s="7" t="inlineStr"/>
      <c r="D16" s="30" t="n"/>
      <c r="E16" s="31" t="n"/>
      <c r="F16" s="31" t="n"/>
      <c r="G16" s="31" t="n"/>
      <c r="H16" s="31" t="n"/>
      <c r="I16" s="7" t="inlineStr">
        <is>
          <t>—</t>
        </is>
      </c>
    </row>
    <row r="18">
      <c r="A18" s="13" t="inlineStr">
        <is>
          <t>TOTAL JOUR 8</t>
        </is>
      </c>
      <c r="B18" s="13" t="n"/>
      <c r="C18" s="13" t="n"/>
      <c r="D18" s="13" t="n"/>
      <c r="E18" s="13" t="n"/>
      <c r="F18" s="13" t="n"/>
      <c r="G18" s="14">
        <f>SUM(G6:G16)</f>
        <v/>
      </c>
      <c r="H18" s="14">
        <f>SUM(H6:H16)</f>
        <v/>
      </c>
      <c r="I18" s="13" t="n"/>
    </row>
    <row r="20">
      <c r="A20" s="15" t="inlineStr">
        <is>
          <t>Détail par devise</t>
        </is>
      </c>
    </row>
    <row r="21">
      <c r="A21" s="16" t="inlineStr">
        <is>
          <t>Total Bs (BOB)</t>
        </is>
      </c>
      <c r="E21" s="32">
        <f>SUMIF($D$6:$D$16,"BOB",E6:E16)</f>
        <v/>
      </c>
      <c r="F21" s="32">
        <f>SUMIF($D$6:$D$16,"BOB",F6:F16)</f>
        <v/>
      </c>
    </row>
    <row r="23">
      <c r="A23" s="3" t="inlineStr">
        <is>
          <t>Colonnes E et F = fourchette basse / haute en monnaie locale. Colonnes G et H = conversion automatique via la feuille « Taux de change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3"/>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9 — CHACO → ASUNCIÓN (Paraguay)</t>
        </is>
      </c>
    </row>
    <row r="2">
      <c r="A2" s="2" t="inlineStr">
        <is>
          <t>Traversée du Chaco et double frontière</t>
        </is>
      </c>
    </row>
    <row r="3">
      <c r="A3" s="3" t="inlineStr">
        <is>
          <t>Altitude : 43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05h00–06h00</t>
        </is>
      </c>
      <c r="B6" s="6" t="inlineStr">
        <is>
          <t>Arrêt petit-déjeuner à Villamontes</t>
        </is>
      </c>
      <c r="C6" s="7" t="inlineStr">
        <is>
          <t>Dernière occasion de dépenser vos bolivianos : ils ne valent rien au Paraguay.</t>
        </is>
      </c>
      <c r="D6" s="22" t="inlineStr">
        <is>
          <t>BOB</t>
        </is>
      </c>
      <c r="E6" s="23" t="n">
        <v>15</v>
      </c>
      <c r="F6" s="23" t="n">
        <v>25</v>
      </c>
      <c r="G6" s="24">
        <f>IF($D6="","",E6/INDEX('Taux de change'!$B$5:$B$8,MATCH($D6,'Taux de change'!$A$5:$A$8,0)))</f>
        <v/>
      </c>
      <c r="H6" s="24">
        <f>IF($D6="","",F6/INDEX('Taux de change'!$B$5:$B$8,MATCH($D6,'Taux de change'!$A$5:$A$8,0)))</f>
        <v/>
      </c>
      <c r="I6" s="7" t="inlineStr">
        <is>
          <t>Espèces</t>
        </is>
      </c>
    </row>
    <row r="7">
      <c r="A7" s="9" t="inlineStr">
        <is>
          <t>07h00–08h30</t>
        </is>
      </c>
      <c r="B7" s="10" t="inlineStr">
        <is>
          <t>FRONTIÈRE — Sortie de Bolivie (poste d'Ibibobo / Villamontes) : tampon de sortie</t>
        </is>
      </c>
      <c r="C7" s="11" t="inlineStr">
        <is>
          <t>Aucune taxe de sortie officielle. Refusez poliment toute demande de « propina ».</t>
        </is>
      </c>
      <c r="D7" s="33" t="n"/>
      <c r="E7" s="34" t="n"/>
      <c r="F7" s="34" t="n"/>
      <c r="G7" s="34" t="n"/>
      <c r="H7" s="34" t="n"/>
      <c r="I7" s="36" t="inlineStr">
        <is>
          <t>GRATUIT</t>
        </is>
      </c>
    </row>
    <row r="8">
      <c r="A8" s="5" t="inlineStr">
        <is>
          <t>08h30–10h00</t>
        </is>
      </c>
      <c r="B8" s="6" t="inlineStr">
        <is>
          <t>No man's land d'Infante Rivarola — 100 km de Chaco sec, aucun service</t>
        </is>
      </c>
      <c r="C8" s="7" t="inlineStr"/>
      <c r="D8" s="30" t="n"/>
      <c r="E8" s="31" t="n"/>
      <c r="F8" s="31" t="n"/>
      <c r="G8" s="31" t="n"/>
      <c r="H8" s="31" t="n"/>
      <c r="I8" s="7" t="inlineStr">
        <is>
          <t>—</t>
        </is>
      </c>
    </row>
    <row r="9">
      <c r="A9" s="9" t="inlineStr">
        <is>
          <t>10h00–12h00</t>
        </is>
      </c>
      <c r="B9" s="10" t="inlineStr">
        <is>
          <t>FRONTIÈRE — Entrée au Paraguay (Migraciones + contrôle sanitaire + fouille douanière)</t>
        </is>
      </c>
      <c r="C9" s="11" t="inlineStr">
        <is>
          <t>Pas de visa ni de frais pour les Français (90 jours). CARNET INTERNATIONAL DE VACCINATION FIÈVRE JAUNE OBLIGATOIRE (Résolution 268/2025) car vous venez du département de Santa Cruz, classé zone à risque.</t>
        </is>
      </c>
      <c r="D9" s="33" t="n"/>
      <c r="E9" s="34" t="n"/>
      <c r="F9" s="34" t="n"/>
      <c r="G9" s="34" t="n"/>
      <c r="H9" s="34" t="n"/>
      <c r="I9" s="36" t="inlineStr">
        <is>
          <t>GRATUIT</t>
        </is>
      </c>
    </row>
    <row r="10">
      <c r="A10" s="5" t="inlineStr">
        <is>
          <t>12h00–13h00</t>
        </is>
      </c>
      <c r="B10" s="6" t="inlineStr">
        <is>
          <t>Déjeuner à Mariscal Estigarribia ou Filadelfia (colonie mennonite) : empanadas, sopa paraguaya</t>
        </is>
      </c>
      <c r="C10" s="7" t="inlineStr"/>
      <c r="D10" s="22" t="inlineStr">
        <is>
          <t>PYG</t>
        </is>
      </c>
      <c r="E10" s="37" t="n">
        <v>25000</v>
      </c>
      <c r="F10" s="37" t="n">
        <v>45000</v>
      </c>
      <c r="G10" s="24">
        <f>IF($D10="","",E10/INDEX('Taux de change'!$B$5:$B$8,MATCH($D10,'Taux de change'!$A$5:$A$8,0)))</f>
        <v/>
      </c>
      <c r="H10" s="24">
        <f>IF($D10="","",F10/INDEX('Taux de change'!$B$5:$B$8,MATCH($D10,'Taux de change'!$A$5:$A$8,0)))</f>
        <v/>
      </c>
      <c r="I10" s="7" t="inlineStr">
        <is>
          <t>Espèces</t>
        </is>
      </c>
    </row>
    <row r="11">
      <c r="A11" s="9" t="inlineStr">
        <is>
          <t>13h00–19h00</t>
        </is>
      </c>
      <c r="B11" s="10" t="inlineStr">
        <is>
          <t>Ruta Transchaco : Loma Plata, Pozo Colorado, Villa Hayes, traversée du fleuve Paraguay</t>
        </is>
      </c>
      <c r="C11" s="11" t="inlineStr"/>
      <c r="D11" s="33" t="n"/>
      <c r="E11" s="34" t="n"/>
      <c r="F11" s="34" t="n"/>
      <c r="G11" s="34" t="n"/>
      <c r="H11" s="34" t="n"/>
      <c r="I11" s="11" t="inlineStr">
        <is>
          <t>—</t>
        </is>
      </c>
    </row>
    <row r="12">
      <c r="A12" s="5" t="inlineStr">
        <is>
          <t>19h00–20h00</t>
        </is>
      </c>
      <c r="B12" s="6" t="inlineStr">
        <is>
          <t>Arrivée Terminal de Ómnibus de Asunción (Av. Fernando de la Mora)</t>
        </is>
      </c>
      <c r="C12" s="7" t="inlineStr">
        <is>
          <t>Le Paraguay est à UTC−3 : +1 h par rapport à la Bolivie.</t>
        </is>
      </c>
      <c r="D12" s="30" t="n"/>
      <c r="E12" s="31" t="n"/>
      <c r="F12" s="31" t="n"/>
      <c r="G12" s="31" t="n"/>
      <c r="H12" s="31" t="n"/>
      <c r="I12" s="7" t="inlineStr">
        <is>
          <t>—</t>
        </is>
      </c>
    </row>
    <row r="13">
      <c r="A13" s="9" t="inlineStr">
        <is>
          <t>20h00–20h30</t>
        </is>
      </c>
      <c r="B13" s="10" t="inlineStr">
        <is>
          <t>Bolt ou Uber terminal → centre / Villa Morra (6 km)</t>
        </is>
      </c>
      <c r="C13" s="11" t="inlineStr">
        <is>
          <t>Bolt est 20–30 % moins cher qu'Uber à Asunción. Taxi de rue : Gs 70 000–90 000 pour le même trajet.</t>
        </is>
      </c>
      <c r="D13" s="25" t="inlineStr">
        <is>
          <t>PYG</t>
        </is>
      </c>
      <c r="E13" s="28" t="n">
        <v>30000</v>
      </c>
      <c r="F13" s="28" t="n">
        <v>45000</v>
      </c>
      <c r="G13" s="27">
        <f>IF($D13="","",E13/INDEX('Taux de change'!$B$5:$B$8,MATCH($D13,'Taux de change'!$A$5:$A$8,0)))</f>
        <v/>
      </c>
      <c r="H13" s="27">
        <f>IF($D13="","",F13/INDEX('Taux de change'!$B$5:$B$8,MATCH($D13,'Taux de change'!$A$5:$A$8,0)))</f>
        <v/>
      </c>
      <c r="I13" s="11" t="inlineStr">
        <is>
          <t>CB (in-app)</t>
        </is>
      </c>
    </row>
    <row r="14">
      <c r="A14" s="5" t="inlineStr">
        <is>
          <t>20h30–21h00</t>
        </is>
      </c>
      <c r="B14" s="6" t="inlineStr">
        <is>
          <t>Check-in hostel Asunción — lit en dortoir (privée : Gs 200 000–280 000)</t>
        </is>
      </c>
      <c r="C14" s="7" t="inlineStr"/>
      <c r="D14" s="22" t="inlineStr">
        <is>
          <t>PYG</t>
        </is>
      </c>
      <c r="E14" s="37" t="n">
        <v>90000</v>
      </c>
      <c r="F14" s="37" t="n">
        <v>150000</v>
      </c>
      <c r="G14" s="24">
        <f>IF($D14="","",E14/INDEX('Taux de change'!$B$5:$B$8,MATCH($D14,'Taux de change'!$A$5:$A$8,0)))</f>
        <v/>
      </c>
      <c r="H14" s="24">
        <f>IF($D14="","",F14/INDEX('Taux de change'!$B$5:$B$8,MATCH($D14,'Taux de change'!$A$5:$A$8,0)))</f>
        <v/>
      </c>
      <c r="I14" s="7" t="inlineStr">
        <is>
          <t>CB / esp.</t>
        </is>
      </c>
    </row>
    <row r="15">
      <c r="A15" s="9" t="inlineStr">
        <is>
          <t>21h00–22h00</t>
        </is>
      </c>
      <c r="B15" s="10" t="inlineStr">
        <is>
          <t>Dîner : asado ou lomito árabe + tereré</t>
        </is>
      </c>
      <c r="C15" s="11" t="inlineStr"/>
      <c r="D15" s="25" t="inlineStr">
        <is>
          <t>PYG</t>
        </is>
      </c>
      <c r="E15" s="28" t="n">
        <v>45000</v>
      </c>
      <c r="F15" s="28" t="n">
        <v>75000</v>
      </c>
      <c r="G15" s="27">
        <f>IF($D15="","",E15/INDEX('Taux de change'!$B$5:$B$8,MATCH($D15,'Taux de change'!$A$5:$A$8,0)))</f>
        <v/>
      </c>
      <c r="H15" s="27">
        <f>IF($D15="","",F15/INDEX('Taux de change'!$B$5:$B$8,MATCH($D15,'Taux de change'!$A$5:$A$8,0)))</f>
        <v/>
      </c>
      <c r="I15" s="11" t="inlineStr">
        <is>
          <t>CB / esp.</t>
        </is>
      </c>
    </row>
    <row r="17">
      <c r="A17" s="13" t="inlineStr">
        <is>
          <t>TOTAL JOUR 9</t>
        </is>
      </c>
      <c r="B17" s="13" t="n"/>
      <c r="C17" s="13" t="n"/>
      <c r="D17" s="13" t="n"/>
      <c r="E17" s="13" t="n"/>
      <c r="F17" s="13" t="n"/>
      <c r="G17" s="14">
        <f>SUM(G6:G15)</f>
        <v/>
      </c>
      <c r="H17" s="14">
        <f>SUM(H6:H15)</f>
        <v/>
      </c>
      <c r="I17" s="13" t="n"/>
    </row>
    <row r="19">
      <c r="A19" s="15" t="inlineStr">
        <is>
          <t>Détail par devise</t>
        </is>
      </c>
    </row>
    <row r="20">
      <c r="A20" s="16" t="inlineStr">
        <is>
          <t>Total Bs (BOB)</t>
        </is>
      </c>
      <c r="E20" s="32">
        <f>SUMIF($D$6:$D$15,"BOB",E6:E15)</f>
        <v/>
      </c>
      <c r="F20" s="32">
        <f>SUMIF($D$6:$D$15,"BOB",F6:F15)</f>
        <v/>
      </c>
    </row>
    <row r="21">
      <c r="A21" s="16" t="inlineStr">
        <is>
          <t>Total Gs (PYG)</t>
        </is>
      </c>
      <c r="E21" s="38">
        <f>SUMIF($D$6:$D$15,"PYG",E6:E15)</f>
        <v/>
      </c>
      <c r="F21" s="38">
        <f>SUMIF($D$6:$D$15,"PYG",F6:F15)</f>
        <v/>
      </c>
    </row>
    <row r="23">
      <c r="A23" s="3" t="inlineStr">
        <is>
          <t>Colonnes E et F = fourchette basse / haute en monnaie locale. Colonnes G et H = conversion automatique via la feuille « Taux de change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5"/>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10 — ASUNCIÓN — jour 1</t>
        </is>
      </c>
    </row>
    <row r="2">
      <c r="A2" s="2" t="inlineStr">
        <is>
          <t>Centre historique, Mercado 4 et Costanera</t>
        </is>
      </c>
    </row>
    <row r="3">
      <c r="A3" s="3" t="inlineStr">
        <is>
          <t>Altitude : 43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07h30–08h30</t>
        </is>
      </c>
      <c r="B6" s="6" t="inlineStr">
        <is>
          <t>Petit-déjeuner : cocido quemado + chipa</t>
        </is>
      </c>
      <c r="C6" s="7" t="inlineStr"/>
      <c r="D6" s="22" t="inlineStr">
        <is>
          <t>PYG</t>
        </is>
      </c>
      <c r="E6" s="37" t="n">
        <v>15000</v>
      </c>
      <c r="F6" s="37" t="n">
        <v>25000</v>
      </c>
      <c r="G6" s="24">
        <f>IF($D6="","",E6/INDEX('Taux de change'!$B$5:$B$8,MATCH($D6,'Taux de change'!$A$5:$A$8,0)))</f>
        <v/>
      </c>
      <c r="H6" s="24">
        <f>IF($D6="","",F6/INDEX('Taux de change'!$B$5:$B$8,MATCH($D6,'Taux de change'!$A$5:$A$8,0)))</f>
        <v/>
      </c>
      <c r="I6" s="7" t="inlineStr">
        <is>
          <t>Espèces</t>
        </is>
      </c>
    </row>
    <row r="7">
      <c r="A7" s="9" t="inlineStr">
        <is>
          <t>08h30–09h00</t>
        </is>
      </c>
      <c r="B7" s="10" t="inlineStr">
        <is>
          <t>Bus urbain (ligne 30) ou Bolt → centre historique</t>
        </is>
      </c>
      <c r="C7" s="11" t="inlineStr">
        <is>
          <t>Les bus urbains d'Asunción n'acceptent plus les espèces : il faut la carte rechargeable « Billetaje Electrónico » (Gs 10 000 la carte). En pratique, Bolt est plus simple pour 2 jours.</t>
        </is>
      </c>
      <c r="D7" s="25" t="inlineStr">
        <is>
          <t>PYG</t>
        </is>
      </c>
      <c r="E7" s="28" t="n">
        <v>3500</v>
      </c>
      <c r="F7" s="28" t="n">
        <v>25000</v>
      </c>
      <c r="G7" s="27">
        <f>IF($D7="","",E7/INDEX('Taux de change'!$B$5:$B$8,MATCH($D7,'Taux de change'!$A$5:$A$8,0)))</f>
        <v/>
      </c>
      <c r="H7" s="27">
        <f>IF($D7="","",F7/INDEX('Taux de change'!$B$5:$B$8,MATCH($D7,'Taux de change'!$A$5:$A$8,0)))</f>
        <v/>
      </c>
      <c r="I7" s="11" t="inlineStr">
        <is>
          <t>Carte Más / CB</t>
        </is>
      </c>
    </row>
    <row r="8">
      <c r="A8" s="5" t="inlineStr">
        <is>
          <t>09h00–09h45</t>
        </is>
      </c>
      <c r="B8" s="6" t="inlineStr">
        <is>
          <t>Panteón Nacional de los Héroes (gratuit, don bienvenu) + relève de la garde</t>
        </is>
      </c>
      <c r="C8" s="7" t="inlineStr"/>
      <c r="D8" s="22" t="inlineStr">
        <is>
          <t>PYG</t>
        </is>
      </c>
      <c r="E8" s="37" t="n">
        <v>0</v>
      </c>
      <c r="F8" s="37" t="n">
        <v>10000</v>
      </c>
      <c r="G8" s="24">
        <f>IF($D8="","",E8/INDEX('Taux de change'!$B$5:$B$8,MATCH($D8,'Taux de change'!$A$5:$A$8,0)))</f>
        <v/>
      </c>
      <c r="H8" s="24">
        <f>IF($D8="","",F8/INDEX('Taux de change'!$B$5:$B$8,MATCH($D8,'Taux de change'!$A$5:$A$8,0)))</f>
        <v/>
      </c>
      <c r="I8" s="7" t="inlineStr">
        <is>
          <t>Espèces</t>
        </is>
      </c>
    </row>
    <row r="9">
      <c r="A9" s="9" t="inlineStr">
        <is>
          <t>09h45–10h30</t>
        </is>
      </c>
      <c r="B9" s="10" t="inlineStr">
        <is>
          <t>Casa de la Independencia (1772) — gratuit</t>
        </is>
      </c>
      <c r="C9" s="11" t="inlineStr"/>
      <c r="D9" s="33" t="n"/>
      <c r="E9" s="34" t="n"/>
      <c r="F9" s="34" t="n"/>
      <c r="G9" s="34" t="n"/>
      <c r="H9" s="34" t="n"/>
      <c r="I9" s="11" t="inlineStr">
        <is>
          <t>—</t>
        </is>
      </c>
    </row>
    <row r="10">
      <c r="A10" s="5" t="inlineStr">
        <is>
          <t>10h30–11h15</t>
        </is>
      </c>
      <c r="B10" s="6" t="inlineStr">
        <is>
          <t>Cabildo / Centro Cultural de la República — gratuit</t>
        </is>
      </c>
      <c r="C10" s="7" t="inlineStr"/>
      <c r="D10" s="30" t="n"/>
      <c r="E10" s="31" t="n"/>
      <c r="F10" s="31" t="n"/>
      <c r="G10" s="31" t="n"/>
      <c r="H10" s="31" t="n"/>
      <c r="I10" s="7" t="inlineStr">
        <is>
          <t>—</t>
        </is>
      </c>
    </row>
    <row r="11">
      <c r="A11" s="9" t="inlineStr">
        <is>
          <t>11h15–12h00</t>
        </is>
      </c>
      <c r="B11" s="10" t="inlineStr">
        <is>
          <t>Palacio de los López (extérieur) + promenade sur la Costanera</t>
        </is>
      </c>
      <c r="C11" s="11" t="inlineStr"/>
      <c r="D11" s="33" t="n"/>
      <c r="E11" s="34" t="n"/>
      <c r="F11" s="34" t="n"/>
      <c r="G11" s="34" t="n"/>
      <c r="H11" s="34" t="n"/>
      <c r="I11" s="11" t="inlineStr">
        <is>
          <t>—</t>
        </is>
      </c>
    </row>
    <row r="12">
      <c r="A12" s="5" t="inlineStr">
        <is>
          <t>12h00–13h00</t>
        </is>
      </c>
      <c r="B12" s="6" t="inlineStr">
        <is>
          <t>Almuerzo au Mercado 4 : bife koygua, sopa paraguaya, mbejú</t>
        </is>
      </c>
      <c r="C12" s="7" t="inlineStr"/>
      <c r="D12" s="22" t="inlineStr">
        <is>
          <t>PYG</t>
        </is>
      </c>
      <c r="E12" s="37" t="n">
        <v>30000</v>
      </c>
      <c r="F12" s="37" t="n">
        <v>50000</v>
      </c>
      <c r="G12" s="24">
        <f>IF($D12="","",E12/INDEX('Taux de change'!$B$5:$B$8,MATCH($D12,'Taux de change'!$A$5:$A$8,0)))</f>
        <v/>
      </c>
      <c r="H12" s="24">
        <f>IF($D12="","",F12/INDEX('Taux de change'!$B$5:$B$8,MATCH($D12,'Taux de change'!$A$5:$A$8,0)))</f>
        <v/>
      </c>
      <c r="I12" s="7" t="inlineStr">
        <is>
          <t>Espèces</t>
        </is>
      </c>
    </row>
    <row r="13">
      <c r="A13" s="9" t="inlineStr">
        <is>
          <t>13h00–14h30</t>
        </is>
      </c>
      <c r="B13" s="10" t="inlineStr">
        <is>
          <t>Mercado 4 : herbes médicinales (pohã ñana), artisanat ñandutí, cuir</t>
        </is>
      </c>
      <c r="C13" s="11" t="inlineStr"/>
      <c r="D13" s="25" t="inlineStr">
        <is>
          <t>PYG</t>
        </is>
      </c>
      <c r="E13" s="28" t="n">
        <v>0</v>
      </c>
      <c r="F13" s="28" t="n">
        <v>60000</v>
      </c>
      <c r="G13" s="27">
        <f>IF($D13="","",E13/INDEX('Taux de change'!$B$5:$B$8,MATCH($D13,'Taux de change'!$A$5:$A$8,0)))</f>
        <v/>
      </c>
      <c r="H13" s="27">
        <f>IF($D13="","",F13/INDEX('Taux de change'!$B$5:$B$8,MATCH($D13,'Taux de change'!$A$5:$A$8,0)))</f>
        <v/>
      </c>
      <c r="I13" s="11" t="inlineStr">
        <is>
          <t>Espèces</t>
        </is>
      </c>
    </row>
    <row r="14">
      <c r="A14" s="5" t="inlineStr">
        <is>
          <t>15h00–17h00</t>
        </is>
      </c>
      <c r="B14" s="6" t="inlineStr">
        <is>
          <t>Museo del Barro — art indigène, populaire et contemporain (le meilleur musée du pays)</t>
        </is>
      </c>
      <c r="C14" s="7" t="inlineStr">
        <is>
          <t>Entrée gratuite le vendredi et le samedi. Ouvert mar.–sam. 14h–20h uniquement.</t>
        </is>
      </c>
      <c r="D14" s="22" t="inlineStr">
        <is>
          <t>PYG</t>
        </is>
      </c>
      <c r="E14" s="37" t="n">
        <v>0</v>
      </c>
      <c r="F14" s="37" t="n">
        <v>50000</v>
      </c>
      <c r="G14" s="24">
        <f>IF($D14="","",E14/INDEX('Taux de change'!$B$5:$B$8,MATCH($D14,'Taux de change'!$A$5:$A$8,0)))</f>
        <v/>
      </c>
      <c r="H14" s="24">
        <f>IF($D14="","",F14/INDEX('Taux de change'!$B$5:$B$8,MATCH($D14,'Taux de change'!$A$5:$A$8,0)))</f>
        <v/>
      </c>
      <c r="I14" s="7" t="inlineStr">
        <is>
          <t>CB / esp.</t>
        </is>
      </c>
    </row>
    <row r="15">
      <c r="A15" s="9" t="inlineStr">
        <is>
          <t>17h00–18h30</t>
        </is>
      </c>
      <c r="B15" s="10" t="inlineStr">
        <is>
          <t>Loma San Jerónimo (quartier coloré en escaliers) — Bolt aller/retour</t>
        </is>
      </c>
      <c r="C15" s="11" t="inlineStr"/>
      <c r="D15" s="25" t="inlineStr">
        <is>
          <t>PYG</t>
        </is>
      </c>
      <c r="E15" s="28" t="n">
        <v>40000</v>
      </c>
      <c r="F15" s="28" t="n">
        <v>60000</v>
      </c>
      <c r="G15" s="27">
        <f>IF($D15="","",E15/INDEX('Taux de change'!$B$5:$B$8,MATCH($D15,'Taux de change'!$A$5:$A$8,0)))</f>
        <v/>
      </c>
      <c r="H15" s="27">
        <f>IF($D15="","",F15/INDEX('Taux de change'!$B$5:$B$8,MATCH($D15,'Taux de change'!$A$5:$A$8,0)))</f>
        <v/>
      </c>
      <c r="I15" s="11" t="inlineStr">
        <is>
          <t>CB (in-app)</t>
        </is>
      </c>
    </row>
    <row r="16">
      <c r="A16" s="5" t="inlineStr">
        <is>
          <t>19h00–20h00</t>
        </is>
      </c>
      <c r="B16" s="6" t="inlineStr">
        <is>
          <t>Coucher de soleil sur la Bahía + tereré glacé</t>
        </is>
      </c>
      <c r="C16" s="7" t="inlineStr"/>
      <c r="D16" s="22" t="inlineStr">
        <is>
          <t>PYG</t>
        </is>
      </c>
      <c r="E16" s="37" t="n">
        <v>10000</v>
      </c>
      <c r="F16" s="37" t="n">
        <v>20000</v>
      </c>
      <c r="G16" s="24">
        <f>IF($D16="","",E16/INDEX('Taux de change'!$B$5:$B$8,MATCH($D16,'Taux de change'!$A$5:$A$8,0)))</f>
        <v/>
      </c>
      <c r="H16" s="24">
        <f>IF($D16="","",F16/INDEX('Taux de change'!$B$5:$B$8,MATCH($D16,'Taux de change'!$A$5:$A$8,0)))</f>
        <v/>
      </c>
      <c r="I16" s="7" t="inlineStr">
        <is>
          <t>Espèces</t>
        </is>
      </c>
    </row>
    <row r="17">
      <c r="A17" s="9" t="inlineStr">
        <is>
          <t>20h30–22h00</t>
        </is>
      </c>
      <c r="B17" s="10" t="inlineStr">
        <is>
          <t>Dîner : Lido Bar (face au Panthéon) ou Paulista Grill (rodízio)</t>
        </is>
      </c>
      <c r="C17" s="11" t="inlineStr"/>
      <c r="D17" s="25" t="inlineStr">
        <is>
          <t>PYG</t>
        </is>
      </c>
      <c r="E17" s="28" t="n">
        <v>60000</v>
      </c>
      <c r="F17" s="28" t="n">
        <v>110000</v>
      </c>
      <c r="G17" s="27">
        <f>IF($D17="","",E17/INDEX('Taux de change'!$B$5:$B$8,MATCH($D17,'Taux de change'!$A$5:$A$8,0)))</f>
        <v/>
      </c>
      <c r="H17" s="27">
        <f>IF($D17="","",F17/INDEX('Taux de change'!$B$5:$B$8,MATCH($D17,'Taux de change'!$A$5:$A$8,0)))</f>
        <v/>
      </c>
      <c r="I17" s="11" t="inlineStr">
        <is>
          <t>CB</t>
        </is>
      </c>
    </row>
    <row r="18">
      <c r="A18" s="5" t="inlineStr">
        <is>
          <t>Nuit</t>
        </is>
      </c>
      <c r="B18" s="6" t="inlineStr">
        <is>
          <t>Hostel Asunción (2ᵉ nuit)</t>
        </is>
      </c>
      <c r="C18" s="7" t="inlineStr"/>
      <c r="D18" s="22" t="inlineStr">
        <is>
          <t>PYG</t>
        </is>
      </c>
      <c r="E18" s="37" t="n">
        <v>90000</v>
      </c>
      <c r="F18" s="37" t="n">
        <v>150000</v>
      </c>
      <c r="G18" s="24">
        <f>IF($D18="","",E18/INDEX('Taux de change'!$B$5:$B$8,MATCH($D18,'Taux de change'!$A$5:$A$8,0)))</f>
        <v/>
      </c>
      <c r="H18" s="24">
        <f>IF($D18="","",F18/INDEX('Taux de change'!$B$5:$B$8,MATCH($D18,'Taux de change'!$A$5:$A$8,0)))</f>
        <v/>
      </c>
      <c r="I18" s="7" t="inlineStr">
        <is>
          <t>CB / esp.</t>
        </is>
      </c>
    </row>
    <row r="20">
      <c r="A20" s="13" t="inlineStr">
        <is>
          <t>TOTAL JOUR 10</t>
        </is>
      </c>
      <c r="B20" s="13" t="n"/>
      <c r="C20" s="13" t="n"/>
      <c r="D20" s="13" t="n"/>
      <c r="E20" s="13" t="n"/>
      <c r="F20" s="13" t="n"/>
      <c r="G20" s="14">
        <f>SUM(G6:G18)</f>
        <v/>
      </c>
      <c r="H20" s="14">
        <f>SUM(H6:H18)</f>
        <v/>
      </c>
      <c r="I20" s="13" t="n"/>
    </row>
    <row r="22">
      <c r="A22" s="15" t="inlineStr">
        <is>
          <t>Détail par devise</t>
        </is>
      </c>
    </row>
    <row r="23">
      <c r="A23" s="16" t="inlineStr">
        <is>
          <t>Total Gs (PYG)</t>
        </is>
      </c>
      <c r="E23" s="38">
        <f>SUMIF($D$6:$D$18,"PYG",E6:E18)</f>
        <v/>
      </c>
      <c r="F23" s="38">
        <f>SUMIF($D$6:$D$18,"PYG",F6:F18)</f>
        <v/>
      </c>
    </row>
    <row r="25">
      <c r="A25" s="3" t="inlineStr">
        <is>
          <t>Colonnes E et F = fourchette basse / haute en monnaie locale. Colonnes G et H = conversion automatique via la feuille « Taux de change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2"/>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11 — ASUNCIÓN — jour 2</t>
        </is>
      </c>
    </row>
    <row r="2">
      <c r="A2" s="2" t="inlineStr">
        <is>
          <t>Lac Ypacaraí (Areguá) et préparation du grand bus</t>
        </is>
      </c>
    </row>
    <row r="3">
      <c r="A3" s="3" t="inlineStr">
        <is>
          <t>Altitude : 43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07h30–08h15</t>
        </is>
      </c>
      <c r="B6" s="6" t="inlineStr">
        <is>
          <t>Petit-déjeuner</t>
        </is>
      </c>
      <c r="C6" s="7" t="inlineStr"/>
      <c r="D6" s="22" t="inlineStr">
        <is>
          <t>PYG</t>
        </is>
      </c>
      <c r="E6" s="37" t="n">
        <v>15000</v>
      </c>
      <c r="F6" s="37" t="n">
        <v>25000</v>
      </c>
      <c r="G6" s="24">
        <f>IF($D6="","",E6/INDEX('Taux de change'!$B$5:$B$8,MATCH($D6,'Taux de change'!$A$5:$A$8,0)))</f>
        <v/>
      </c>
      <c r="H6" s="24">
        <f>IF($D6="","",F6/INDEX('Taux de change'!$B$5:$B$8,MATCH($D6,'Taux de change'!$A$5:$A$8,0)))</f>
        <v/>
      </c>
      <c r="I6" s="7" t="inlineStr">
        <is>
          <t>Espèces</t>
        </is>
      </c>
    </row>
    <row r="7">
      <c r="A7" s="9" t="inlineStr">
        <is>
          <t>08h30–09h30</t>
        </is>
      </c>
      <c r="B7" s="10" t="inlineStr">
        <is>
          <t>Bus interurbain Asunción → Areguá (30 km, village des céramistes au bord du lac Ypacaraí)</t>
        </is>
      </c>
      <c r="C7" s="11" t="inlineStr"/>
      <c r="D7" s="25" t="inlineStr">
        <is>
          <t>PYG</t>
        </is>
      </c>
      <c r="E7" s="28" t="n">
        <v>8000</v>
      </c>
      <c r="F7" s="28" t="n">
        <v>15000</v>
      </c>
      <c r="G7" s="27">
        <f>IF($D7="","",E7/INDEX('Taux de change'!$B$5:$B$8,MATCH($D7,'Taux de change'!$A$5:$A$8,0)))</f>
        <v/>
      </c>
      <c r="H7" s="27">
        <f>IF($D7="","",F7/INDEX('Taux de change'!$B$5:$B$8,MATCH($D7,'Taux de change'!$A$5:$A$8,0)))</f>
        <v/>
      </c>
      <c r="I7" s="11" t="inlineStr">
        <is>
          <t>Espèces</t>
        </is>
      </c>
    </row>
    <row r="8">
      <c r="A8" s="5" t="inlineStr">
        <is>
          <t>09h30–12h30</t>
        </is>
      </c>
      <c r="B8" s="6" t="inlineStr">
        <is>
          <t>Areguá : église Nuestra Señora de la Candelaria, ateliers de céramique, mirador sur le lac, maisons coloniales</t>
        </is>
      </c>
      <c r="C8" s="7" t="inlineStr"/>
      <c r="D8" s="22" t="inlineStr">
        <is>
          <t>PYG</t>
        </is>
      </c>
      <c r="E8" s="37" t="n">
        <v>0</v>
      </c>
      <c r="F8" s="37" t="n">
        <v>20000</v>
      </c>
      <c r="G8" s="24">
        <f>IF($D8="","",E8/INDEX('Taux de change'!$B$5:$B$8,MATCH($D8,'Taux de change'!$A$5:$A$8,0)))</f>
        <v/>
      </c>
      <c r="H8" s="24">
        <f>IF($D8="","",F8/INDEX('Taux de change'!$B$5:$B$8,MATCH($D8,'Taux de change'!$A$5:$A$8,0)))</f>
        <v/>
      </c>
      <c r="I8" s="7" t="inlineStr">
        <is>
          <t>Espèces</t>
        </is>
      </c>
    </row>
    <row r="9">
      <c r="A9" s="9" t="inlineStr">
        <is>
          <t>12h30–13h30</t>
        </is>
      </c>
      <c r="B9" s="10" t="inlineStr">
        <is>
          <t>Déjeuner à Areguá (poisson du lac)</t>
        </is>
      </c>
      <c r="C9" s="11" t="inlineStr"/>
      <c r="D9" s="25" t="inlineStr">
        <is>
          <t>PYG</t>
        </is>
      </c>
      <c r="E9" s="28" t="n">
        <v>30000</v>
      </c>
      <c r="F9" s="28" t="n">
        <v>50000</v>
      </c>
      <c r="G9" s="27">
        <f>IF($D9="","",E9/INDEX('Taux de change'!$B$5:$B$8,MATCH($D9,'Taux de change'!$A$5:$A$8,0)))</f>
        <v/>
      </c>
      <c r="H9" s="27">
        <f>IF($D9="","",F9/INDEX('Taux de change'!$B$5:$B$8,MATCH($D9,'Taux de change'!$A$5:$A$8,0)))</f>
        <v/>
      </c>
      <c r="I9" s="11" t="inlineStr">
        <is>
          <t>Espèces</t>
        </is>
      </c>
    </row>
    <row r="10">
      <c r="A10" s="5" t="inlineStr">
        <is>
          <t>13h30–15h00</t>
        </is>
      </c>
      <c r="B10" s="6" t="inlineStr">
        <is>
          <t>Bus retour vers Asunción</t>
        </is>
      </c>
      <c r="C10" s="7" t="inlineStr"/>
      <c r="D10" s="22" t="inlineStr">
        <is>
          <t>PYG</t>
        </is>
      </c>
      <c r="E10" s="37" t="n">
        <v>8000</v>
      </c>
      <c r="F10" s="37" t="n">
        <v>15000</v>
      </c>
      <c r="G10" s="24">
        <f>IF($D10="","",E10/INDEX('Taux de change'!$B$5:$B$8,MATCH($D10,'Taux de change'!$A$5:$A$8,0)))</f>
        <v/>
      </c>
      <c r="H10" s="24">
        <f>IF($D10="","",F10/INDEX('Taux de change'!$B$5:$B$8,MATCH($D10,'Taux de change'!$A$5:$A$8,0)))</f>
        <v/>
      </c>
      <c r="I10" s="7" t="inlineStr">
        <is>
          <t>Espèces</t>
        </is>
      </c>
    </row>
    <row r="11">
      <c r="A11" s="9" t="inlineStr">
        <is>
          <t>15h30–17h00</t>
        </is>
      </c>
      <c r="B11" s="10" t="inlineStr">
        <is>
          <t>Manzana de la Rivera + Estación Central del Ferrocarril (1861, 1ʳᵉ gare d'Amérique du Sud)</t>
        </is>
      </c>
      <c r="C11" s="11" t="inlineStr"/>
      <c r="D11" s="25" t="inlineStr">
        <is>
          <t>PYG</t>
        </is>
      </c>
      <c r="E11" s="28" t="n">
        <v>5000</v>
      </c>
      <c r="F11" s="28" t="n">
        <v>15000</v>
      </c>
      <c r="G11" s="27">
        <f>IF($D11="","",E11/INDEX('Taux de change'!$B$5:$B$8,MATCH($D11,'Taux de change'!$A$5:$A$8,0)))</f>
        <v/>
      </c>
      <c r="H11" s="27">
        <f>IF($D11="","",F11/INDEX('Taux de change'!$B$5:$B$8,MATCH($D11,'Taux de change'!$A$5:$A$8,0)))</f>
        <v/>
      </c>
      <c r="I11" s="11" t="inlineStr">
        <is>
          <t>Espèces</t>
        </is>
      </c>
    </row>
    <row r="12">
      <c r="A12" s="5" t="inlineStr">
        <is>
          <t>17h00–18h00</t>
        </is>
      </c>
      <c r="B12" s="6" t="inlineStr">
        <is>
          <t>ACHAT DU BILLET Asunción → São Paulo au guichet du Terminal (Expreso Paraguay, Nuestra Señora de la Asunción, Pluma)</t>
        </is>
      </c>
      <c r="C12" s="7" t="inlineStr">
        <is>
          <t>$76–105 selon la classe (semi-cama / cama). Expreso Paraguay part à 07h00 et arrive à 04h26 (21 h 26). Départ à 09h20 avec Expresso Nordeste (plus long).</t>
        </is>
      </c>
      <c r="D12" s="22" t="inlineStr">
        <is>
          <t>PYG</t>
        </is>
      </c>
      <c r="E12" s="37" t="n">
        <v>450000</v>
      </c>
      <c r="F12" s="37" t="n">
        <v>620000</v>
      </c>
      <c r="G12" s="24">
        <f>IF($D12="","",E12/INDEX('Taux de change'!$B$5:$B$8,MATCH($D12,'Taux de change'!$A$5:$A$8,0)))</f>
        <v/>
      </c>
      <c r="H12" s="24">
        <f>IF($D12="","",F12/INDEX('Taux de change'!$B$5:$B$8,MATCH($D12,'Taux de change'!$A$5:$A$8,0)))</f>
        <v/>
      </c>
      <c r="I12" s="7" t="inlineStr">
        <is>
          <t>CB / esp.</t>
        </is>
      </c>
    </row>
    <row r="13">
      <c r="A13" s="9" t="inlineStr">
        <is>
          <t>18h00–19h00</t>
        </is>
      </c>
      <c r="B13" s="10" t="inlineStr">
        <is>
          <t>Shopping Ciudad Nueva / pharmacie — le Paraguay est le pays le moins cher du continent pour l'électronique et les médicaments</t>
        </is>
      </c>
      <c r="C13" s="11" t="inlineStr"/>
      <c r="D13" s="25" t="inlineStr">
        <is>
          <t>PYG</t>
        </is>
      </c>
      <c r="E13" s="28" t="n">
        <v>0</v>
      </c>
      <c r="F13" s="28" t="n">
        <v>100000</v>
      </c>
      <c r="G13" s="27">
        <f>IF($D13="","",E13/INDEX('Taux de change'!$B$5:$B$8,MATCH($D13,'Taux de change'!$A$5:$A$8,0)))</f>
        <v/>
      </c>
      <c r="H13" s="27">
        <f>IF($D13="","",F13/INDEX('Taux de change'!$B$5:$B$8,MATCH($D13,'Taux de change'!$A$5:$A$8,0)))</f>
        <v/>
      </c>
      <c r="I13" s="11" t="inlineStr">
        <is>
          <t>CB</t>
        </is>
      </c>
    </row>
    <row r="14">
      <c r="A14" s="5" t="inlineStr">
        <is>
          <t>19h30–21h00</t>
        </is>
      </c>
      <c r="B14" s="6" t="inlineStr">
        <is>
          <t>Dîner d'adieu (chipa guazú, asado)</t>
        </is>
      </c>
      <c r="C14" s="7" t="inlineStr"/>
      <c r="D14" s="22" t="inlineStr">
        <is>
          <t>PYG</t>
        </is>
      </c>
      <c r="E14" s="37" t="n">
        <v>60000</v>
      </c>
      <c r="F14" s="37" t="n">
        <v>110000</v>
      </c>
      <c r="G14" s="24">
        <f>IF($D14="","",E14/INDEX('Taux de change'!$B$5:$B$8,MATCH($D14,'Taux de change'!$A$5:$A$8,0)))</f>
        <v/>
      </c>
      <c r="H14" s="24">
        <f>IF($D14="","",F14/INDEX('Taux de change'!$B$5:$B$8,MATCH($D14,'Taux de change'!$A$5:$A$8,0)))</f>
        <v/>
      </c>
      <c r="I14" s="7" t="inlineStr">
        <is>
          <t>CB</t>
        </is>
      </c>
    </row>
    <row r="15">
      <c r="A15" s="9" t="inlineStr">
        <is>
          <t>Nuit</t>
        </is>
      </c>
      <c r="B15" s="10" t="inlineStr">
        <is>
          <t>Hostel Asunción (3ᵉ nuit)</t>
        </is>
      </c>
      <c r="C15" s="11" t="inlineStr"/>
      <c r="D15" s="25" t="inlineStr">
        <is>
          <t>PYG</t>
        </is>
      </c>
      <c r="E15" s="28" t="n">
        <v>90000</v>
      </c>
      <c r="F15" s="28" t="n">
        <v>150000</v>
      </c>
      <c r="G15" s="27">
        <f>IF($D15="","",E15/INDEX('Taux de change'!$B$5:$B$8,MATCH($D15,'Taux de change'!$A$5:$A$8,0)))</f>
        <v/>
      </c>
      <c r="H15" s="27">
        <f>IF($D15="","",F15/INDEX('Taux de change'!$B$5:$B$8,MATCH($D15,'Taux de change'!$A$5:$A$8,0)))</f>
        <v/>
      </c>
      <c r="I15" s="11" t="inlineStr">
        <is>
          <t>CB / esp.</t>
        </is>
      </c>
    </row>
    <row r="17">
      <c r="A17" s="13" t="inlineStr">
        <is>
          <t>TOTAL JOUR 11</t>
        </is>
      </c>
      <c r="B17" s="13" t="n"/>
      <c r="C17" s="13" t="n"/>
      <c r="D17" s="13" t="n"/>
      <c r="E17" s="13" t="n"/>
      <c r="F17" s="13" t="n"/>
      <c r="G17" s="14">
        <f>SUM(G6:G15)</f>
        <v/>
      </c>
      <c r="H17" s="14">
        <f>SUM(H6:H15)</f>
        <v/>
      </c>
      <c r="I17" s="13" t="n"/>
    </row>
    <row r="19">
      <c r="A19" s="15" t="inlineStr">
        <is>
          <t>Détail par devise</t>
        </is>
      </c>
    </row>
    <row r="20">
      <c r="A20" s="16" t="inlineStr">
        <is>
          <t>Total Gs (PYG)</t>
        </is>
      </c>
      <c r="E20" s="38">
        <f>SUMIF($D$6:$D$15,"PYG",E6:E15)</f>
        <v/>
      </c>
      <c r="F20" s="38">
        <f>SUMIF($D$6:$D$15,"PYG",F6:F15)</f>
        <v/>
      </c>
    </row>
    <row r="22">
      <c r="A22" s="3" t="inlineStr">
        <is>
          <t>Colonnes E et F = fourchette basse / haute en monnaie locale. Colonnes G et H = conversion automatique via la feuille « Taux de change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12 — ASUNCIÓN → SÃO PAULO</t>
        </is>
      </c>
    </row>
    <row r="2">
      <c r="A2" s="2" t="inlineStr">
        <is>
          <t>21 h 30 de bus et passage au Brésil par le Pont de l'Amitié</t>
        </is>
      </c>
    </row>
    <row r="3">
      <c r="A3" s="3" t="inlineStr">
        <is>
          <t>Altitude : —</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05h30–06h00</t>
        </is>
      </c>
      <c r="B6" s="6" t="inlineStr">
        <is>
          <t>Café à l'hostel</t>
        </is>
      </c>
      <c r="C6" s="7" t="inlineStr"/>
      <c r="D6" s="22" t="inlineStr">
        <is>
          <t>PYG</t>
        </is>
      </c>
      <c r="E6" s="37" t="n">
        <v>10000</v>
      </c>
      <c r="F6" s="37" t="n">
        <v>20000</v>
      </c>
      <c r="G6" s="24">
        <f>IF($D6="","",E6/INDEX('Taux de change'!$B$5:$B$8,MATCH($D6,'Taux de change'!$A$5:$A$8,0)))</f>
        <v/>
      </c>
      <c r="H6" s="24">
        <f>IF($D6="","",F6/INDEX('Taux de change'!$B$5:$B$8,MATCH($D6,'Taux de change'!$A$5:$A$8,0)))</f>
        <v/>
      </c>
      <c r="I6" s="7" t="inlineStr">
        <is>
          <t>Espèces</t>
        </is>
      </c>
    </row>
    <row r="7">
      <c r="A7" s="9" t="inlineStr">
        <is>
          <t>06h00–06h30</t>
        </is>
      </c>
      <c r="B7" s="10" t="inlineStr">
        <is>
          <t>Bolt → Terminal de Ómnibus de Asunción</t>
        </is>
      </c>
      <c r="C7" s="11" t="inlineStr"/>
      <c r="D7" s="25" t="inlineStr">
        <is>
          <t>PYG</t>
        </is>
      </c>
      <c r="E7" s="28" t="n">
        <v>30000</v>
      </c>
      <c r="F7" s="28" t="n">
        <v>45000</v>
      </c>
      <c r="G7" s="27">
        <f>IF($D7="","",E7/INDEX('Taux de change'!$B$5:$B$8,MATCH($D7,'Taux de change'!$A$5:$A$8,0)))</f>
        <v/>
      </c>
      <c r="H7" s="27">
        <f>IF($D7="","",F7/INDEX('Taux de change'!$B$5:$B$8,MATCH($D7,'Taux de change'!$A$5:$A$8,0)))</f>
        <v/>
      </c>
      <c r="I7" s="11" t="inlineStr">
        <is>
          <t>CB (in-app)</t>
        </is>
      </c>
    </row>
    <row r="8">
      <c r="A8" s="5" t="inlineStr">
        <is>
          <t>06h30–07h00</t>
        </is>
      </c>
      <c r="B8" s="6" t="inlineStr">
        <is>
          <t>Tasa de terminal + enregistrement des bagages en soute</t>
        </is>
      </c>
      <c r="C8" s="7" t="inlineStr"/>
      <c r="D8" s="22" t="inlineStr">
        <is>
          <t>PYG</t>
        </is>
      </c>
      <c r="E8" s="37" t="n">
        <v>5000</v>
      </c>
      <c r="F8" s="37" t="n">
        <v>15000</v>
      </c>
      <c r="G8" s="24">
        <f>IF($D8="","",E8/INDEX('Taux de change'!$B$5:$B$8,MATCH($D8,'Taux de change'!$A$5:$A$8,0)))</f>
        <v/>
      </c>
      <c r="H8" s="24">
        <f>IF($D8="","",F8/INDEX('Taux de change'!$B$5:$B$8,MATCH($D8,'Taux de change'!$A$5:$A$8,0)))</f>
        <v/>
      </c>
      <c r="I8" s="7" t="inlineStr">
        <is>
          <t>Espèces</t>
        </is>
      </c>
    </row>
    <row r="9">
      <c r="A9" s="9" t="inlineStr">
        <is>
          <t>07h00</t>
        </is>
      </c>
      <c r="B9" s="10" t="inlineStr">
        <is>
          <t>BUS ASUNCIÓN → SÃO PAULO — Expreso Paraguay · 1 130 km · 21 h 26 · via Coronel Oviedo, Ciudad del Este, Foz do Iguaçu, Cascavel, Curitiba</t>
        </is>
      </c>
      <c r="C9" s="11" t="inlineStr">
        <is>
          <t>Billet payé la veille.</t>
        </is>
      </c>
      <c r="D9" s="33" t="n"/>
      <c r="E9" s="34" t="n"/>
      <c r="F9" s="34" t="n"/>
      <c r="G9" s="34" t="n"/>
      <c r="H9" s="34" t="n"/>
      <c r="I9" s="11" t="inlineStr">
        <is>
          <t>—</t>
        </is>
      </c>
    </row>
    <row r="10">
      <c r="A10" s="5" t="inlineStr">
        <is>
          <t>12h30–14h30</t>
        </is>
      </c>
      <c r="B10" s="6" t="inlineStr">
        <is>
          <t>FRONTIÈRE — Ciudad del Este / Foz do Iguaçu (Puente de la Amistad) : descente avec TOUS les bagages, tampon de sortie du Paraguay puis tampon d'entrée au Brésil</t>
        </is>
      </c>
      <c r="C10" s="7" t="inlineStr">
        <is>
          <t>Aucun frais ni visa pour les Français (90 jours). EXIGEZ LES DEUX TAMPONS : beaucoup de bus ne s'arrêtent que côté brésilien et l'absence de tampon de sortie paraguayen vous coûtera une amende plus tard. Comptez 1 h 30–2 h.</t>
        </is>
      </c>
      <c r="D10" s="30" t="n"/>
      <c r="E10" s="31" t="n"/>
      <c r="F10" s="31" t="n"/>
      <c r="G10" s="31" t="n"/>
      <c r="H10" s="31" t="n"/>
      <c r="I10" s="35" t="inlineStr">
        <is>
          <t>GRATUIT</t>
        </is>
      </c>
    </row>
    <row r="11">
      <c r="A11" s="9" t="inlineStr">
        <is>
          <t>14h30–15h00</t>
        </is>
      </c>
      <c r="B11" s="10" t="inlineStr">
        <is>
          <t>Change Gs → R$ ou retrait à Foz do Iguaçu</t>
        </is>
      </c>
      <c r="C11" s="11" t="inlineStr">
        <is>
          <t>Dépensez vos derniers guaranis : ils sont inéchangeables hors du Paraguay.</t>
        </is>
      </c>
      <c r="D11" s="33" t="n"/>
      <c r="E11" s="34" t="n"/>
      <c r="F11" s="34" t="n"/>
      <c r="G11" s="34" t="n"/>
      <c r="H11" s="34" t="n"/>
      <c r="I11" s="11" t="inlineStr">
        <is>
          <t>Espèces</t>
        </is>
      </c>
    </row>
    <row r="12">
      <c r="A12" s="5" t="inlineStr">
        <is>
          <t>15h00–16h00</t>
        </is>
      </c>
      <c r="B12" s="6" t="inlineStr">
        <is>
          <t>Déjeuner à l'arrêt (Foz do Iguaçu ou Cascavel) — restaurant por quilo</t>
        </is>
      </c>
      <c r="C12" s="7" t="inlineStr"/>
      <c r="D12" s="22" t="inlineStr">
        <is>
          <t>BRL</t>
        </is>
      </c>
      <c r="E12" s="23" t="n">
        <v>30</v>
      </c>
      <c r="F12" s="23" t="n">
        <v>50</v>
      </c>
      <c r="G12" s="24">
        <f>IF($D12="","",E12/INDEX('Taux de change'!$B$5:$B$8,MATCH($D12,'Taux de change'!$A$5:$A$8,0)))</f>
        <v/>
      </c>
      <c r="H12" s="24">
        <f>IF($D12="","",F12/INDEX('Taux de change'!$B$5:$B$8,MATCH($D12,'Taux de change'!$A$5:$A$8,0)))</f>
        <v/>
      </c>
      <c r="I12" s="7" t="inlineStr">
        <is>
          <t>CB</t>
        </is>
      </c>
    </row>
    <row r="13">
      <c r="A13" s="9" t="inlineStr">
        <is>
          <t>20h00–21h00</t>
        </is>
      </c>
      <c r="B13" s="10" t="inlineStr">
        <is>
          <t>Dîner à l'arrêt routier</t>
        </is>
      </c>
      <c r="C13" s="11" t="inlineStr"/>
      <c r="D13" s="25" t="inlineStr">
        <is>
          <t>BRL</t>
        </is>
      </c>
      <c r="E13" s="26" t="n">
        <v>25</v>
      </c>
      <c r="F13" s="26" t="n">
        <v>45</v>
      </c>
      <c r="G13" s="27">
        <f>IF($D13="","",E13/INDEX('Taux de change'!$B$5:$B$8,MATCH($D13,'Taux de change'!$A$5:$A$8,0)))</f>
        <v/>
      </c>
      <c r="H13" s="27">
        <f>IF($D13="","",F13/INDEX('Taux de change'!$B$5:$B$8,MATCH($D13,'Taux de change'!$A$5:$A$8,0)))</f>
        <v/>
      </c>
      <c r="I13" s="11" t="inlineStr">
        <is>
          <t>CB</t>
        </is>
      </c>
    </row>
    <row r="14">
      <c r="A14" s="5" t="inlineStr">
        <is>
          <t>Nuit</t>
        </is>
      </c>
      <c r="B14" s="6" t="inlineStr">
        <is>
          <t>Nuit à bord</t>
        </is>
      </c>
      <c r="C14" s="7" t="inlineStr"/>
      <c r="D14" s="30" t="n"/>
      <c r="E14" s="31" t="n"/>
      <c r="F14" s="31" t="n"/>
      <c r="G14" s="31" t="n"/>
      <c r="H14" s="31" t="n"/>
      <c r="I14" s="7" t="inlineStr">
        <is>
          <t>—</t>
        </is>
      </c>
    </row>
    <row r="16">
      <c r="A16" s="13" t="inlineStr">
        <is>
          <t>TOTAL JOUR 12</t>
        </is>
      </c>
      <c r="B16" s="13" t="n"/>
      <c r="C16" s="13" t="n"/>
      <c r="D16" s="13" t="n"/>
      <c r="E16" s="13" t="n"/>
      <c r="F16" s="13" t="n"/>
      <c r="G16" s="14">
        <f>SUM(G6:G14)</f>
        <v/>
      </c>
      <c r="H16" s="14">
        <f>SUM(H6:H14)</f>
        <v/>
      </c>
      <c r="I16" s="13" t="n"/>
    </row>
    <row r="18">
      <c r="A18" s="15" t="inlineStr">
        <is>
          <t>Détail par devise</t>
        </is>
      </c>
    </row>
    <row r="19">
      <c r="A19" s="16" t="inlineStr">
        <is>
          <t>Total Gs (PYG)</t>
        </is>
      </c>
      <c r="E19" s="38">
        <f>SUMIF($D$6:$D$14,"PYG",E6:E14)</f>
        <v/>
      </c>
      <c r="F19" s="38">
        <f>SUMIF($D$6:$D$14,"PYG",F6:F14)</f>
        <v/>
      </c>
    </row>
    <row r="20">
      <c r="A20" s="16" t="inlineStr">
        <is>
          <t>Total R$ (BRL)</t>
        </is>
      </c>
      <c r="E20" s="32">
        <f>SUMIF($D$6:$D$14,"BRL",E6:E14)</f>
        <v/>
      </c>
      <c r="F20" s="32">
        <f>SUMIF($D$6:$D$14,"BRL",F6:F14)</f>
        <v/>
      </c>
    </row>
    <row r="22">
      <c r="A22" s="3" t="inlineStr">
        <is>
          <t>Colonnes E et F = fourchette basse / haute en monnaie locale. Colonnes G et H = conversion automatique via la feuille « Taux de change ».</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4"/>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13 — SÃO PAULO — jour 1</t>
        </is>
      </c>
    </row>
    <row r="2">
      <c r="A2" s="2" t="inlineStr">
        <is>
          <t>Arrivée à l'aube, Avenida Paulista et centre</t>
        </is>
      </c>
    </row>
    <row r="3">
      <c r="A3" s="3" t="inlineStr">
        <is>
          <t>Altitude : 760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04h26–05h00</t>
        </is>
      </c>
      <c r="B6" s="6" t="inlineStr">
        <is>
          <t>Arrivée Terminal Rodoviário Tietê</t>
        </is>
      </c>
      <c r="C6" s="7" t="inlineStr"/>
      <c r="D6" s="30" t="n"/>
      <c r="E6" s="31" t="n"/>
      <c r="F6" s="31" t="n"/>
      <c r="G6" s="31" t="n"/>
      <c r="H6" s="31" t="n"/>
      <c r="I6" s="7" t="inlineStr">
        <is>
          <t>—</t>
        </is>
      </c>
    </row>
    <row r="7">
      <c r="A7" s="9" t="inlineStr">
        <is>
          <t>05h00–05h30</t>
        </is>
      </c>
      <c r="B7" s="10" t="inlineStr">
        <is>
          <t>Café + attente de l'ouverture du métro (04h40 en semaine, 06h00 le dimanche)</t>
        </is>
      </c>
      <c r="C7" s="11" t="inlineStr"/>
      <c r="D7" s="25" t="inlineStr">
        <is>
          <t>BRL</t>
        </is>
      </c>
      <c r="E7" s="26" t="n">
        <v>10</v>
      </c>
      <c r="F7" s="26" t="n">
        <v>18</v>
      </c>
      <c r="G7" s="27">
        <f>IF($D7="","",E7/INDEX('Taux de change'!$B$5:$B$8,MATCH($D7,'Taux de change'!$A$5:$A$8,0)))</f>
        <v/>
      </c>
      <c r="H7" s="27">
        <f>IF($D7="","",F7/INDEX('Taux de change'!$B$5:$B$8,MATCH($D7,'Taux de change'!$A$5:$A$8,0)))</f>
        <v/>
      </c>
      <c r="I7" s="11" t="inlineStr">
        <is>
          <t>CB / PIX</t>
        </is>
      </c>
    </row>
    <row r="8">
      <c r="A8" s="5" t="inlineStr">
        <is>
          <t>05h30–06h00</t>
        </is>
      </c>
      <c r="B8" s="6" t="inlineStr">
        <is>
          <t>Métro ligne 1 Bleue : Tietê → República ou Paraíso</t>
        </is>
      </c>
      <c r="C8" s="7" t="inlineStr">
        <is>
          <t>Tarif unique 2026 : R$ 5,40. On paie directement avec une carte bancaire sans contact aux tourniquets — pas besoin de Bilhete Único.</t>
        </is>
      </c>
      <c r="D8" s="22" t="inlineStr">
        <is>
          <t>BRL</t>
        </is>
      </c>
      <c r="E8" s="23" t="n">
        <v>5.4</v>
      </c>
      <c r="F8" s="23" t="n">
        <v>5.4</v>
      </c>
      <c r="G8" s="24">
        <f>IF($D8="","",E8/INDEX('Taux de change'!$B$5:$B$8,MATCH($D8,'Taux de change'!$A$5:$A$8,0)))</f>
        <v/>
      </c>
      <c r="H8" s="24">
        <f>IF($D8="","",F8/INDEX('Taux de change'!$B$5:$B$8,MATCH($D8,'Taux de change'!$A$5:$A$8,0)))</f>
        <v/>
      </c>
      <c r="I8" s="7" t="inlineStr">
        <is>
          <t>CB sans contact</t>
        </is>
      </c>
    </row>
    <row r="9">
      <c r="A9" s="9" t="inlineStr">
        <is>
          <t>06h00–08h00</t>
        </is>
      </c>
      <c r="B9" s="10" t="inlineStr">
        <is>
          <t>Dépôt des sacs à l'auberge (check-in à 14h) puis douche si l'auberge le permet</t>
        </is>
      </c>
      <c r="C9" s="11" t="inlineStr"/>
      <c r="D9" s="33" t="n"/>
      <c r="E9" s="34" t="n"/>
      <c r="F9" s="34" t="n"/>
      <c r="G9" s="34" t="n"/>
      <c r="H9" s="34" t="n"/>
      <c r="I9" s="11" t="inlineStr">
        <is>
          <t>—</t>
        </is>
      </c>
    </row>
    <row r="10">
      <c r="A10" s="5" t="inlineStr">
        <is>
          <t>08h00–09h00</t>
        </is>
      </c>
      <c r="B10" s="6" t="inlineStr">
        <is>
          <t>Petit-déjeuner en padaria : pão na chapa + pingado + pastel de nata</t>
        </is>
      </c>
      <c r="C10" s="7" t="inlineStr"/>
      <c r="D10" s="22" t="inlineStr">
        <is>
          <t>BRL</t>
        </is>
      </c>
      <c r="E10" s="23" t="n">
        <v>15</v>
      </c>
      <c r="F10" s="23" t="n">
        <v>25</v>
      </c>
      <c r="G10" s="24">
        <f>IF($D10="","",E10/INDEX('Taux de change'!$B$5:$B$8,MATCH($D10,'Taux de change'!$A$5:$A$8,0)))</f>
        <v/>
      </c>
      <c r="H10" s="24">
        <f>IF($D10="","",F10/INDEX('Taux de change'!$B$5:$B$8,MATCH($D10,'Taux de change'!$A$5:$A$8,0)))</f>
        <v/>
      </c>
      <c r="I10" s="7" t="inlineStr">
        <is>
          <t>CB / PIX</t>
        </is>
      </c>
    </row>
    <row r="11">
      <c r="A11" s="9" t="inlineStr">
        <is>
          <t>09h00–10h30</t>
        </is>
      </c>
      <c r="B11" s="10" t="inlineStr">
        <is>
          <t>Avenida Paulista + Parque Trianon (gratuit) + Casa das Rosas</t>
        </is>
      </c>
      <c r="C11" s="11" t="inlineStr"/>
      <c r="D11" s="33" t="n"/>
      <c r="E11" s="34" t="n"/>
      <c r="F11" s="34" t="n"/>
      <c r="G11" s="34" t="n"/>
      <c r="H11" s="34" t="n"/>
      <c r="I11" s="11" t="inlineStr">
        <is>
          <t>—</t>
        </is>
      </c>
    </row>
    <row r="12">
      <c r="A12" s="5" t="inlineStr">
        <is>
          <t>10h30–12h30</t>
        </is>
      </c>
      <c r="B12" s="6" t="inlineStr">
        <is>
          <t>MASP — Museu de Arte de São Paulo (chevalets de verre de Lina Bo Bardi)</t>
        </is>
      </c>
      <c r="C12" s="7" t="inlineStr">
        <is>
          <t>R$ 80 le lun./mer./jeu., R$ 100 le ven./sam./dim. et jours fériés, et gratuit le mardi (opération Nubank). Vérifiez le jour de fermeture hebdomadaire sur masp.org.br avant de vous déplacer.</t>
        </is>
      </c>
      <c r="D12" s="22" t="inlineStr">
        <is>
          <t>BRL</t>
        </is>
      </c>
      <c r="E12" s="23" t="n">
        <v>0</v>
      </c>
      <c r="F12" s="23" t="n">
        <v>100</v>
      </c>
      <c r="G12" s="24">
        <f>IF($D12="","",E12/INDEX('Taux de change'!$B$5:$B$8,MATCH($D12,'Taux de change'!$A$5:$A$8,0)))</f>
        <v/>
      </c>
      <c r="H12" s="24">
        <f>IF($D12="","",F12/INDEX('Taux de change'!$B$5:$B$8,MATCH($D12,'Taux de change'!$A$5:$A$8,0)))</f>
        <v/>
      </c>
      <c r="I12" s="7" t="inlineStr">
        <is>
          <t>CB</t>
        </is>
      </c>
    </row>
    <row r="13">
      <c r="A13" s="9" t="inlineStr">
        <is>
          <t>12h30–13h30</t>
        </is>
      </c>
      <c r="B13" s="10" t="inlineStr">
        <is>
          <t>Almoço por quilo sur la Paulista (R$ 75–95 le kilo, ~450 g par assiette)</t>
        </is>
      </c>
      <c r="C13" s="11" t="inlineStr"/>
      <c r="D13" s="25" t="inlineStr">
        <is>
          <t>BRL</t>
        </is>
      </c>
      <c r="E13" s="26" t="n">
        <v>40</v>
      </c>
      <c r="F13" s="26" t="n">
        <v>60</v>
      </c>
      <c r="G13" s="27">
        <f>IF($D13="","",E13/INDEX('Taux de change'!$B$5:$B$8,MATCH($D13,'Taux de change'!$A$5:$A$8,0)))</f>
        <v/>
      </c>
      <c r="H13" s="27">
        <f>IF($D13="","",F13/INDEX('Taux de change'!$B$5:$B$8,MATCH($D13,'Taux de change'!$A$5:$A$8,0)))</f>
        <v/>
      </c>
      <c r="I13" s="11" t="inlineStr">
        <is>
          <t>CB / PIX</t>
        </is>
      </c>
    </row>
    <row r="14">
      <c r="A14" s="5" t="inlineStr">
        <is>
          <t>14h00–15h30</t>
        </is>
      </c>
      <c r="B14" s="6" t="inlineStr">
        <is>
          <t>Check-in auberge (Vila Madalena, Bela Vista ou Pinheiros) — lit en dortoir</t>
        </is>
      </c>
      <c r="C14" s="7" t="inlineStr"/>
      <c r="D14" s="22" t="inlineStr">
        <is>
          <t>BRL</t>
        </is>
      </c>
      <c r="E14" s="23" t="n">
        <v>70</v>
      </c>
      <c r="F14" s="23" t="n">
        <v>130</v>
      </c>
      <c r="G14" s="24">
        <f>IF($D14="","",E14/INDEX('Taux de change'!$B$5:$B$8,MATCH($D14,'Taux de change'!$A$5:$A$8,0)))</f>
        <v/>
      </c>
      <c r="H14" s="24">
        <f>IF($D14="","",F14/INDEX('Taux de change'!$B$5:$B$8,MATCH($D14,'Taux de change'!$A$5:$A$8,0)))</f>
        <v/>
      </c>
      <c r="I14" s="7" t="inlineStr">
        <is>
          <t>CB</t>
        </is>
      </c>
    </row>
    <row r="15">
      <c r="A15" s="9" t="inlineStr">
        <is>
          <t>16h00–17h30</t>
        </is>
      </c>
      <c r="B15" s="10" t="inlineStr">
        <is>
          <t>Beco do Batman, Vila Madalena (street art) + métro/bus</t>
        </is>
      </c>
      <c r="C15" s="11" t="inlineStr"/>
      <c r="D15" s="25" t="inlineStr">
        <is>
          <t>BRL</t>
        </is>
      </c>
      <c r="E15" s="26" t="n">
        <v>5.4</v>
      </c>
      <c r="F15" s="26" t="n">
        <v>10.8</v>
      </c>
      <c r="G15" s="27">
        <f>IF($D15="","",E15/INDEX('Taux de change'!$B$5:$B$8,MATCH($D15,'Taux de change'!$A$5:$A$8,0)))</f>
        <v/>
      </c>
      <c r="H15" s="27">
        <f>IF($D15="","",F15/INDEX('Taux de change'!$B$5:$B$8,MATCH($D15,'Taux de change'!$A$5:$A$8,0)))</f>
        <v/>
      </c>
      <c r="I15" s="11" t="inlineStr">
        <is>
          <t>CB sans contact</t>
        </is>
      </c>
    </row>
    <row r="16">
      <c r="A16" s="5" t="inlineStr">
        <is>
          <t>17h30–19h00</t>
        </is>
      </c>
      <c r="B16" s="6" t="inlineStr">
        <is>
          <t>Centro : Theatro Municipal, Edifício Copan (Niemeyer), Farol Santander (mirador 26ᵉ étage)</t>
        </is>
      </c>
      <c r="C16" s="7" t="inlineStr"/>
      <c r="D16" s="22" t="inlineStr">
        <is>
          <t>BRL</t>
        </is>
      </c>
      <c r="E16" s="23" t="n">
        <v>30</v>
      </c>
      <c r="F16" s="23" t="n">
        <v>40</v>
      </c>
      <c r="G16" s="24">
        <f>IF($D16="","",E16/INDEX('Taux de change'!$B$5:$B$8,MATCH($D16,'Taux de change'!$A$5:$A$8,0)))</f>
        <v/>
      </c>
      <c r="H16" s="24">
        <f>IF($D16="","",F16/INDEX('Taux de change'!$B$5:$B$8,MATCH($D16,'Taux de change'!$A$5:$A$8,0)))</f>
        <v/>
      </c>
      <c r="I16" s="7" t="inlineStr">
        <is>
          <t>CB</t>
        </is>
      </c>
    </row>
    <row r="17">
      <c r="A17" s="9" t="inlineStr">
        <is>
          <t>19h30–21h00</t>
        </is>
      </c>
      <c r="B17" s="10" t="inlineStr">
        <is>
          <t>Dîner + chope artisanale, Rua Aspicuelta (Vila Madalena)</t>
        </is>
      </c>
      <c r="C17" s="11" t="inlineStr"/>
      <c r="D17" s="25" t="inlineStr">
        <is>
          <t>BRL</t>
        </is>
      </c>
      <c r="E17" s="26" t="n">
        <v>50</v>
      </c>
      <c r="F17" s="26" t="n">
        <v>90</v>
      </c>
      <c r="G17" s="27">
        <f>IF($D17="","",E17/INDEX('Taux de change'!$B$5:$B$8,MATCH($D17,'Taux de change'!$A$5:$A$8,0)))</f>
        <v/>
      </c>
      <c r="H17" s="27">
        <f>IF($D17="","",F17/INDEX('Taux de change'!$B$5:$B$8,MATCH($D17,'Taux de change'!$A$5:$A$8,0)))</f>
        <v/>
      </c>
      <c r="I17" s="11" t="inlineStr">
        <is>
          <t>CB / PIX</t>
        </is>
      </c>
    </row>
    <row r="19">
      <c r="A19" s="13" t="inlineStr">
        <is>
          <t>TOTAL JOUR 13</t>
        </is>
      </c>
      <c r="B19" s="13" t="n"/>
      <c r="C19" s="13" t="n"/>
      <c r="D19" s="13" t="n"/>
      <c r="E19" s="13" t="n"/>
      <c r="F19" s="13" t="n"/>
      <c r="G19" s="14">
        <f>SUM(G6:G17)</f>
        <v/>
      </c>
      <c r="H19" s="14">
        <f>SUM(H6:H17)</f>
        <v/>
      </c>
      <c r="I19" s="13" t="n"/>
    </row>
    <row r="21">
      <c r="A21" s="15" t="inlineStr">
        <is>
          <t>Détail par devise</t>
        </is>
      </c>
    </row>
    <row r="22">
      <c r="A22" s="16" t="inlineStr">
        <is>
          <t>Total R$ (BRL)</t>
        </is>
      </c>
      <c r="E22" s="32">
        <f>SUMIF($D$6:$D$17,"BRL",E6:E17)</f>
        <v/>
      </c>
      <c r="F22" s="32">
        <f>SUMIF($D$6:$D$17,"BRL",F6:F17)</f>
        <v/>
      </c>
    </row>
    <row r="24">
      <c r="A24" s="3" t="inlineStr">
        <is>
          <t>Colonnes E et F = fourchette basse / haute en monnaie locale. Colonnes G et H = conversion automatique via la feuille « Taux de change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4"/>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14 — SÃO PAULO — jour 2</t>
        </is>
      </c>
    </row>
    <row r="2">
      <c r="A2" s="2" t="inlineStr">
        <is>
          <t>Luz, Mercadão, Ibirapuera, Liberdade — puis bus de nuit</t>
        </is>
      </c>
    </row>
    <row r="3">
      <c r="A3" s="3" t="inlineStr">
        <is>
          <t>Altitude : 760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07h30–08h30</t>
        </is>
      </c>
      <c r="B6" s="6" t="inlineStr">
        <is>
          <t>Petit-déjeuner à l'auberge (souvent inclus)</t>
        </is>
      </c>
      <c r="C6" s="7" t="inlineStr"/>
      <c r="D6" s="22" t="inlineStr">
        <is>
          <t>BRL</t>
        </is>
      </c>
      <c r="E6" s="23" t="n">
        <v>0</v>
      </c>
      <c r="F6" s="23" t="n">
        <v>20</v>
      </c>
      <c r="G6" s="24">
        <f>IF($D6="","",E6/INDEX('Taux de change'!$B$5:$B$8,MATCH($D6,'Taux de change'!$A$5:$A$8,0)))</f>
        <v/>
      </c>
      <c r="H6" s="24">
        <f>IF($D6="","",F6/INDEX('Taux de change'!$B$5:$B$8,MATCH($D6,'Taux de change'!$A$5:$A$8,0)))</f>
        <v/>
      </c>
      <c r="I6" s="7" t="inlineStr">
        <is>
          <t>CB</t>
        </is>
      </c>
    </row>
    <row r="7">
      <c r="A7" s="9" t="inlineStr">
        <is>
          <t>08h30–09h00</t>
        </is>
      </c>
      <c r="B7" s="10" t="inlineStr">
        <is>
          <t>Métro ligne 1 → Luz</t>
        </is>
      </c>
      <c r="C7" s="11" t="inlineStr"/>
      <c r="D7" s="25" t="inlineStr">
        <is>
          <t>BRL</t>
        </is>
      </c>
      <c r="E7" s="26" t="n">
        <v>5.4</v>
      </c>
      <c r="F7" s="26" t="n">
        <v>5.4</v>
      </c>
      <c r="G7" s="27">
        <f>IF($D7="","",E7/INDEX('Taux de change'!$B$5:$B$8,MATCH($D7,'Taux de change'!$A$5:$A$8,0)))</f>
        <v/>
      </c>
      <c r="H7" s="27">
        <f>IF($D7="","",F7/INDEX('Taux de change'!$B$5:$B$8,MATCH($D7,'Taux de change'!$A$5:$A$8,0)))</f>
        <v/>
      </c>
      <c r="I7" s="11" t="inlineStr">
        <is>
          <t>CB sans contact</t>
        </is>
      </c>
    </row>
    <row r="8">
      <c r="A8" s="5" t="inlineStr">
        <is>
          <t>09h00–10h30</t>
        </is>
      </c>
      <c r="B8" s="6" t="inlineStr">
        <is>
          <t>Pinacoteca do Estado (1ᵉʳ musée d'art du Brésil) + Jardim da Luz</t>
        </is>
      </c>
      <c r="C8" s="7" t="inlineStr">
        <is>
          <t>Gratuit le samedi.</t>
        </is>
      </c>
      <c r="D8" s="22" t="inlineStr">
        <is>
          <t>BRL</t>
        </is>
      </c>
      <c r="E8" s="23" t="n">
        <v>0</v>
      </c>
      <c r="F8" s="23" t="n">
        <v>50</v>
      </c>
      <c r="G8" s="24">
        <f>IF($D8="","",E8/INDEX('Taux de change'!$B$5:$B$8,MATCH($D8,'Taux de change'!$A$5:$A$8,0)))</f>
        <v/>
      </c>
      <c r="H8" s="24">
        <f>IF($D8="","",F8/INDEX('Taux de change'!$B$5:$B$8,MATCH($D8,'Taux de change'!$A$5:$A$8,0)))</f>
        <v/>
      </c>
      <c r="I8" s="7" t="inlineStr">
        <is>
          <t>CB</t>
        </is>
      </c>
    </row>
    <row r="9">
      <c r="A9" s="9" t="inlineStr">
        <is>
          <t>10h30–11h30</t>
        </is>
      </c>
      <c r="B9" s="10" t="inlineStr">
        <is>
          <t>Mercado Municipal (Mercadão) : sanduíche de mortadela (300 g de charcuterie) + pastel de bacalhau</t>
        </is>
      </c>
      <c r="C9" s="11" t="inlineStr">
        <is>
          <t>Attention aux « dégustations » de fruits imposées par les vendeurs : elles vous seront facturées R$ 30–60.</t>
        </is>
      </c>
      <c r="D9" s="25" t="inlineStr">
        <is>
          <t>BRL</t>
        </is>
      </c>
      <c r="E9" s="26" t="n">
        <v>60</v>
      </c>
      <c r="F9" s="26" t="n">
        <v>100</v>
      </c>
      <c r="G9" s="27">
        <f>IF($D9="","",E9/INDEX('Taux de change'!$B$5:$B$8,MATCH($D9,'Taux de change'!$A$5:$A$8,0)))</f>
        <v/>
      </c>
      <c r="H9" s="27">
        <f>IF($D9="","",F9/INDEX('Taux de change'!$B$5:$B$8,MATCH($D9,'Taux de change'!$A$5:$A$8,0)))</f>
        <v/>
      </c>
      <c r="I9" s="11" t="inlineStr">
        <is>
          <t>CB / PIX</t>
        </is>
      </c>
    </row>
    <row r="10">
      <c r="A10" s="5" t="inlineStr">
        <is>
          <t>11h30–12h30</t>
        </is>
      </c>
      <c r="B10" s="6" t="inlineStr">
        <is>
          <t>Rua 25 de Março + Catedral da Sé + Pátio do Colégio</t>
        </is>
      </c>
      <c r="C10" s="7" t="inlineStr">
        <is>
          <t>Zone à surveiller : ne sortez pas votre téléphone dans la rue autour de la Sé et de la Luz.</t>
        </is>
      </c>
      <c r="D10" s="30" t="n"/>
      <c r="E10" s="31" t="n"/>
      <c r="F10" s="31" t="n"/>
      <c r="G10" s="31" t="n"/>
      <c r="H10" s="31" t="n"/>
      <c r="I10" s="7" t="inlineStr">
        <is>
          <t>—</t>
        </is>
      </c>
    </row>
    <row r="11">
      <c r="A11" s="9" t="inlineStr">
        <is>
          <t>12h30–13h30</t>
        </is>
      </c>
      <c r="B11" s="10" t="inlineStr">
        <is>
          <t>Métro + bus → Parque Ibirapuera</t>
        </is>
      </c>
      <c r="C11" s="11" t="inlineStr"/>
      <c r="D11" s="25" t="inlineStr">
        <is>
          <t>BRL</t>
        </is>
      </c>
      <c r="E11" s="26" t="n">
        <v>5.4</v>
      </c>
      <c r="F11" s="26" t="n">
        <v>9.4</v>
      </c>
      <c r="G11" s="27">
        <f>IF($D11="","",E11/INDEX('Taux de change'!$B$5:$B$8,MATCH($D11,'Taux de change'!$A$5:$A$8,0)))</f>
        <v/>
      </c>
      <c r="H11" s="27">
        <f>IF($D11="","",F11/INDEX('Taux de change'!$B$5:$B$8,MATCH($D11,'Taux de change'!$A$5:$A$8,0)))</f>
        <v/>
      </c>
      <c r="I11" s="11" t="inlineStr">
        <is>
          <t>CB sans contact</t>
        </is>
      </c>
    </row>
    <row r="12">
      <c r="A12" s="5" t="inlineStr">
        <is>
          <t>13h30–17h00</t>
        </is>
      </c>
      <c r="B12" s="6" t="inlineStr">
        <is>
          <t>Parc Ibirapuera (gratuit), MAC-USP (gratuit, terrasse panoramique), Museu Afro Brasil</t>
        </is>
      </c>
      <c r="C12" s="7" t="inlineStr">
        <is>
          <t>Museu Afro Brasil gratuit le samedi.</t>
        </is>
      </c>
      <c r="D12" s="22" t="inlineStr">
        <is>
          <t>BRL</t>
        </is>
      </c>
      <c r="E12" s="23" t="n">
        <v>0</v>
      </c>
      <c r="F12" s="23" t="n">
        <v>45</v>
      </c>
      <c r="G12" s="24">
        <f>IF($D12="","",E12/INDEX('Taux de change'!$B$5:$B$8,MATCH($D12,'Taux de change'!$A$5:$A$8,0)))</f>
        <v/>
      </c>
      <c r="H12" s="24">
        <f>IF($D12="","",F12/INDEX('Taux de change'!$B$5:$B$8,MATCH($D12,'Taux de change'!$A$5:$A$8,0)))</f>
        <v/>
      </c>
      <c r="I12" s="7" t="inlineStr">
        <is>
          <t>CB</t>
        </is>
      </c>
    </row>
    <row r="13">
      <c r="A13" s="9" t="inlineStr">
        <is>
          <t>17h00–18h30</t>
        </is>
      </c>
      <c r="B13" s="10" t="inlineStr">
        <is>
          <t>Liberdade (quartier japonais) : gyoza, taiyaki, Rua Galvão Bueno</t>
        </is>
      </c>
      <c r="C13" s="11" t="inlineStr"/>
      <c r="D13" s="25" t="inlineStr">
        <is>
          <t>BRL</t>
        </is>
      </c>
      <c r="E13" s="26" t="n">
        <v>25</v>
      </c>
      <c r="F13" s="26" t="n">
        <v>45</v>
      </c>
      <c r="G13" s="27">
        <f>IF($D13="","",E13/INDEX('Taux de change'!$B$5:$B$8,MATCH($D13,'Taux de change'!$A$5:$A$8,0)))</f>
        <v/>
      </c>
      <c r="H13" s="27">
        <f>IF($D13="","",F13/INDEX('Taux de change'!$B$5:$B$8,MATCH($D13,'Taux de change'!$A$5:$A$8,0)))</f>
        <v/>
      </c>
      <c r="I13" s="11" t="inlineStr">
        <is>
          <t>CB / PIX</t>
        </is>
      </c>
    </row>
    <row r="14">
      <c r="A14" s="5" t="inlineStr">
        <is>
          <t>18h30–20h00</t>
        </is>
      </c>
      <c r="B14" s="6" t="inlineStr">
        <is>
          <t>Récupération des sacs à l'auberge + dîner</t>
        </is>
      </c>
      <c r="C14" s="7" t="inlineStr"/>
      <c r="D14" s="22" t="inlineStr">
        <is>
          <t>BRL</t>
        </is>
      </c>
      <c r="E14" s="23" t="n">
        <v>40</v>
      </c>
      <c r="F14" s="23" t="n">
        <v>70</v>
      </c>
      <c r="G14" s="24">
        <f>IF($D14="","",E14/INDEX('Taux de change'!$B$5:$B$8,MATCH($D14,'Taux de change'!$A$5:$A$8,0)))</f>
        <v/>
      </c>
      <c r="H14" s="24">
        <f>IF($D14="","",F14/INDEX('Taux de change'!$B$5:$B$8,MATCH($D14,'Taux de change'!$A$5:$A$8,0)))</f>
        <v/>
      </c>
      <c r="I14" s="7" t="inlineStr">
        <is>
          <t>CB / PIX</t>
        </is>
      </c>
    </row>
    <row r="15">
      <c r="A15" s="9" t="inlineStr">
        <is>
          <t>20h30–21h30</t>
        </is>
      </c>
      <c r="B15" s="10" t="inlineStr">
        <is>
          <t>Métro → Terminal Tietê + taxe d'embarquement</t>
        </is>
      </c>
      <c r="C15" s="11" t="inlineStr"/>
      <c r="D15" s="25" t="inlineStr">
        <is>
          <t>BRL</t>
        </is>
      </c>
      <c r="E15" s="26" t="n">
        <v>5.4</v>
      </c>
      <c r="F15" s="26" t="n">
        <v>5.4</v>
      </c>
      <c r="G15" s="27">
        <f>IF($D15="","",E15/INDEX('Taux de change'!$B$5:$B$8,MATCH($D15,'Taux de change'!$A$5:$A$8,0)))</f>
        <v/>
      </c>
      <c r="H15" s="27">
        <f>IF($D15="","",F15/INDEX('Taux de change'!$B$5:$B$8,MATCH($D15,'Taux de change'!$A$5:$A$8,0)))</f>
        <v/>
      </c>
      <c r="I15" s="11" t="inlineStr">
        <is>
          <t>CB sans contact</t>
        </is>
      </c>
    </row>
    <row r="16">
      <c r="A16" s="5" t="inlineStr">
        <is>
          <t>23h00</t>
        </is>
      </c>
      <c r="B16" s="6" t="inlineStr">
        <is>
          <t>BUS SÃO PAULO → RIO — Viação 1001 / Cometa / Águia Branca · 429 km · 6 h–6 h 45 · executivo ou leito</t>
        </is>
      </c>
      <c r="C16" s="7" t="inlineStr">
        <is>
          <t>Conventionnel dès R$ 60–90 (Buser, ClickBus). Le bus de nuit économise une nuit d'auberge et vous dépose à l'aube.</t>
        </is>
      </c>
      <c r="D16" s="22" t="inlineStr">
        <is>
          <t>BRL</t>
        </is>
      </c>
      <c r="E16" s="23" t="n">
        <v>100</v>
      </c>
      <c r="F16" s="23" t="n">
        <v>200</v>
      </c>
      <c r="G16" s="24">
        <f>IF($D16="","",E16/INDEX('Taux de change'!$B$5:$B$8,MATCH($D16,'Taux de change'!$A$5:$A$8,0)))</f>
        <v/>
      </c>
      <c r="H16" s="24">
        <f>IF($D16="","",F16/INDEX('Taux de change'!$B$5:$B$8,MATCH($D16,'Taux de change'!$A$5:$A$8,0)))</f>
        <v/>
      </c>
      <c r="I16" s="7" t="inlineStr">
        <is>
          <t>CB en ligne</t>
        </is>
      </c>
    </row>
    <row r="17">
      <c r="A17" s="9" t="inlineStr">
        <is>
          <t>Nuit</t>
        </is>
      </c>
      <c r="B17" s="10" t="inlineStr">
        <is>
          <t>Nuit à bord</t>
        </is>
      </c>
      <c r="C17" s="11" t="inlineStr"/>
      <c r="D17" s="33" t="n"/>
      <c r="E17" s="34" t="n"/>
      <c r="F17" s="34" t="n"/>
      <c r="G17" s="34" t="n"/>
      <c r="H17" s="34" t="n"/>
      <c r="I17" s="11" t="inlineStr">
        <is>
          <t>—</t>
        </is>
      </c>
    </row>
    <row r="19">
      <c r="A19" s="13" t="inlineStr">
        <is>
          <t>TOTAL JOUR 14</t>
        </is>
      </c>
      <c r="B19" s="13" t="n"/>
      <c r="C19" s="13" t="n"/>
      <c r="D19" s="13" t="n"/>
      <c r="E19" s="13" t="n"/>
      <c r="F19" s="13" t="n"/>
      <c r="G19" s="14">
        <f>SUM(G6:G17)</f>
        <v/>
      </c>
      <c r="H19" s="14">
        <f>SUM(H6:H17)</f>
        <v/>
      </c>
      <c r="I19" s="13" t="n"/>
    </row>
    <row r="21">
      <c r="A21" s="15" t="inlineStr">
        <is>
          <t>Détail par devise</t>
        </is>
      </c>
    </row>
    <row r="22">
      <c r="A22" s="16" t="inlineStr">
        <is>
          <t>Total R$ (BRL)</t>
        </is>
      </c>
      <c r="E22" s="32">
        <f>SUMIF($D$6:$D$17,"BRL",E6:E17)</f>
        <v/>
      </c>
      <c r="F22" s="32">
        <f>SUMIF($D$6:$D$17,"BRL",F6:F17)</f>
        <v/>
      </c>
    </row>
    <row r="24">
      <c r="A24" s="3" t="inlineStr">
        <is>
          <t>Colonnes E et F = fourchette basse / haute en monnaie locale. Colonnes G et H = conversion automatique via la feuille « Taux de change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3"/>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15 — RIO DE JANEIRO — jour 1</t>
        </is>
      </c>
    </row>
    <row r="2">
      <c r="A2" s="2" t="inlineStr">
        <is>
          <t>CHRIST RÉDEMPTEUR, Santa Teresa et Lapa</t>
        </is>
      </c>
    </row>
    <row r="3">
      <c r="A3" s="3" t="inlineStr">
        <is>
          <t>Altitude : 0–710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05h15–05h45</t>
        </is>
      </c>
      <c r="B6" s="6" t="inlineStr">
        <is>
          <t>Arrivée Rodoviária do Rio (Novo Rio)</t>
        </is>
      </c>
      <c r="C6" s="7" t="inlineStr"/>
      <c r="D6" s="30" t="n"/>
      <c r="E6" s="31" t="n"/>
      <c r="F6" s="31" t="n"/>
      <c r="G6" s="31" t="n"/>
      <c r="H6" s="31" t="n"/>
      <c r="I6" s="7" t="inlineStr">
        <is>
          <t>—</t>
        </is>
      </c>
    </row>
    <row r="7">
      <c r="A7" s="9" t="inlineStr">
        <is>
          <t>05h45–06h30</t>
        </is>
      </c>
      <c r="B7" s="10" t="inlineStr">
        <is>
          <t>Uber / 99 → Copacabana ou Botafogo (~8 km)</t>
        </is>
      </c>
      <c r="C7" s="11" t="inlineStr">
        <is>
          <t>À cette heure, n'allez pas à pied autour de la rodoviária. Uber ou 99 exclusivement, jamais un taxi non officiel.</t>
        </is>
      </c>
      <c r="D7" s="25" t="inlineStr">
        <is>
          <t>BRL</t>
        </is>
      </c>
      <c r="E7" s="26" t="n">
        <v>30</v>
      </c>
      <c r="F7" s="26" t="n">
        <v>55</v>
      </c>
      <c r="G7" s="27">
        <f>IF($D7="","",E7/INDEX('Taux de change'!$B$5:$B$8,MATCH($D7,'Taux de change'!$A$5:$A$8,0)))</f>
        <v/>
      </c>
      <c r="H7" s="27">
        <f>IF($D7="","",F7/INDEX('Taux de change'!$B$5:$B$8,MATCH($D7,'Taux de change'!$A$5:$A$8,0)))</f>
        <v/>
      </c>
      <c r="I7" s="11" t="inlineStr">
        <is>
          <t>CB (in-app)</t>
        </is>
      </c>
    </row>
    <row r="8">
      <c r="A8" s="5" t="inlineStr">
        <is>
          <t>06h30–08h00</t>
        </is>
      </c>
      <c r="B8" s="6" t="inlineStr">
        <is>
          <t>Dépôt des sacs à l'auberge + petit-déjeuner (pão de queijo + suco de açaí)</t>
        </is>
      </c>
      <c r="C8" s="7" t="inlineStr"/>
      <c r="D8" s="22" t="inlineStr">
        <is>
          <t>BRL</t>
        </is>
      </c>
      <c r="E8" s="23" t="n">
        <v>20</v>
      </c>
      <c r="F8" s="23" t="n">
        <v>35</v>
      </c>
      <c r="G8" s="24">
        <f>IF($D8="","",E8/INDEX('Taux de change'!$B$5:$B$8,MATCH($D8,'Taux de change'!$A$5:$A$8,0)))</f>
        <v/>
      </c>
      <c r="H8" s="24">
        <f>IF($D8="","",F8/INDEX('Taux de change'!$B$5:$B$8,MATCH($D8,'Taux de change'!$A$5:$A$8,0)))</f>
        <v/>
      </c>
      <c r="I8" s="7" t="inlineStr">
        <is>
          <t>CB / PIX</t>
        </is>
      </c>
    </row>
    <row r="9">
      <c r="A9" s="9" t="inlineStr">
        <is>
          <t>08h00–08h30</t>
        </is>
      </c>
      <c r="B9" s="10" t="inlineStr">
        <is>
          <t>Métro ligne 1 → Largo do Machado (point de départ des vans officielles)</t>
        </is>
      </c>
      <c r="C9" s="11" t="inlineStr">
        <is>
          <t>Tarif unique métro Rio 2026 : R$ 7,90.</t>
        </is>
      </c>
      <c r="D9" s="25" t="inlineStr">
        <is>
          <t>BRL</t>
        </is>
      </c>
      <c r="E9" s="26" t="n">
        <v>7.9</v>
      </c>
      <c r="F9" s="26" t="n">
        <v>7.9</v>
      </c>
      <c r="G9" s="27">
        <f>IF($D9="","",E9/INDEX('Taux de change'!$B$5:$B$8,MATCH($D9,'Taux de change'!$A$5:$A$8,0)))</f>
        <v/>
      </c>
      <c r="H9" s="27">
        <f>IF($D9="","",F9/INDEX('Taux de change'!$B$5:$B$8,MATCH($D9,'Taux de change'!$A$5:$A$8,0)))</f>
        <v/>
      </c>
      <c r="I9" s="11" t="inlineStr">
        <is>
          <t>CB sans contact</t>
        </is>
      </c>
    </row>
    <row r="10">
      <c r="A10" s="5" t="inlineStr">
        <is>
          <t>08h30–09h00</t>
        </is>
      </c>
      <c r="B10" s="6" t="inlineStr">
        <is>
          <t>BILLET CHRIST RÉDENTEUR — van officielle Paineiras Corcovado depuis Largo do Machado (A/R + entrée du monument)</t>
        </is>
      </c>
      <c r="C10" s="7" t="inlineStr">
        <is>
          <t>Alternatives : train du Corcovado depuis Cosme Velho R$ 134 (le plus pittoresque, 20 min dans la forêt de Tijuca) ; van depuis le centre de visiteurs de Paineiras R$ 87 (le moins cher, mais il faut monter jusqu'à Paineiras). Réservez la veille sur paineirascorcovado.com.br ou ticket.corcovado.com.br : les créneaux du matin partent vite.</t>
        </is>
      </c>
      <c r="D10" s="22" t="inlineStr">
        <is>
          <t>BRL</t>
        </is>
      </c>
      <c r="E10" s="23" t="n">
        <v>132</v>
      </c>
      <c r="F10" s="23" t="n">
        <v>132</v>
      </c>
      <c r="G10" s="24">
        <f>IF($D10="","",E10/INDEX('Taux de change'!$B$5:$B$8,MATCH($D10,'Taux de change'!$A$5:$A$8,0)))</f>
        <v/>
      </c>
      <c r="H10" s="24">
        <f>IF($D10="","",F10/INDEX('Taux de change'!$B$5:$B$8,MATCH($D10,'Taux de change'!$A$5:$A$8,0)))</f>
        <v/>
      </c>
      <c r="I10" s="7" t="inlineStr">
        <is>
          <t>CB en ligne</t>
        </is>
      </c>
    </row>
    <row r="11">
      <c r="A11" s="9" t="inlineStr">
        <is>
          <t>09h00–12h00</t>
        </is>
      </c>
      <c r="B11" s="10" t="inlineStr">
        <is>
          <t>CHRIST RÉDEMPTEUR (710 m) — montée, 1 h sur l'esplanade, redescente</t>
        </is>
      </c>
      <c r="C11" s="11" t="inlineStr">
        <is>
          <t>Venez le plus tôt possible : dès 10h30 la plateforme est saturée et les nuages montent souvent l'après-midi.</t>
        </is>
      </c>
      <c r="D11" s="33" t="n"/>
      <c r="E11" s="34" t="n"/>
      <c r="F11" s="34" t="n"/>
      <c r="G11" s="34" t="n"/>
      <c r="H11" s="34" t="n"/>
      <c r="I11" s="11" t="inlineStr">
        <is>
          <t>—</t>
        </is>
      </c>
    </row>
    <row r="12">
      <c r="A12" s="5" t="inlineStr">
        <is>
          <t>12h30–13h30</t>
        </is>
      </c>
      <c r="B12" s="6" t="inlineStr">
        <is>
          <t>Almoço por quilo à Largo do Machado / Catete</t>
        </is>
      </c>
      <c r="C12" s="7" t="inlineStr"/>
      <c r="D12" s="22" t="inlineStr">
        <is>
          <t>BRL</t>
        </is>
      </c>
      <c r="E12" s="23" t="n">
        <v>40</v>
      </c>
      <c r="F12" s="23" t="n">
        <v>60</v>
      </c>
      <c r="G12" s="24">
        <f>IF($D12="","",E12/INDEX('Taux de change'!$B$5:$B$8,MATCH($D12,'Taux de change'!$A$5:$A$8,0)))</f>
        <v/>
      </c>
      <c r="H12" s="24">
        <f>IF($D12="","",F12/INDEX('Taux de change'!$B$5:$B$8,MATCH($D12,'Taux de change'!$A$5:$A$8,0)))</f>
        <v/>
      </c>
      <c r="I12" s="7" t="inlineStr">
        <is>
          <t>CB / PIX</t>
        </is>
      </c>
    </row>
    <row r="13">
      <c r="A13" s="9" t="inlineStr">
        <is>
          <t>14h00–15h00</t>
        </is>
      </c>
      <c r="B13" s="10" t="inlineStr">
        <is>
          <t>Check-in auberge (Copacabana, Botafogo ou Santa Teresa) — lit en dortoir</t>
        </is>
      </c>
      <c r="C13" s="11" t="inlineStr"/>
      <c r="D13" s="25" t="inlineStr">
        <is>
          <t>BRL</t>
        </is>
      </c>
      <c r="E13" s="26" t="n">
        <v>75</v>
      </c>
      <c r="F13" s="26" t="n">
        <v>140</v>
      </c>
      <c r="G13" s="27">
        <f>IF($D13="","",E13/INDEX('Taux de change'!$B$5:$B$8,MATCH($D13,'Taux de change'!$A$5:$A$8,0)))</f>
        <v/>
      </c>
      <c r="H13" s="27">
        <f>IF($D13="","",F13/INDEX('Taux de change'!$B$5:$B$8,MATCH($D13,'Taux de change'!$A$5:$A$8,0)))</f>
        <v/>
      </c>
      <c r="I13" s="11" t="inlineStr">
        <is>
          <t>CB</t>
        </is>
      </c>
    </row>
    <row r="14">
      <c r="A14" s="5" t="inlineStr">
        <is>
          <t>15h30–17h00</t>
        </is>
      </c>
      <c r="B14" s="6" t="inlineStr">
        <is>
          <t>Escadaria Selarón (gratuit) + Arcos da Lapa + Catedral Metropolitana</t>
        </is>
      </c>
      <c r="C14" s="7" t="inlineStr"/>
      <c r="D14" s="22" t="inlineStr">
        <is>
          <t>BRL</t>
        </is>
      </c>
      <c r="E14" s="23" t="n">
        <v>5</v>
      </c>
      <c r="F14" s="23" t="n">
        <v>10</v>
      </c>
      <c r="G14" s="24">
        <f>IF($D14="","",E14/INDEX('Taux de change'!$B$5:$B$8,MATCH($D14,'Taux de change'!$A$5:$A$8,0)))</f>
        <v/>
      </c>
      <c r="H14" s="24">
        <f>IF($D14="","",F14/INDEX('Taux de change'!$B$5:$B$8,MATCH($D14,'Taux de change'!$A$5:$A$8,0)))</f>
        <v/>
      </c>
      <c r="I14" s="7" t="inlineStr">
        <is>
          <t>Espèces / PIX</t>
        </is>
      </c>
    </row>
    <row r="15">
      <c r="A15" s="9" t="inlineStr">
        <is>
          <t>17h00–18h30</t>
        </is>
      </c>
      <c r="B15" s="10" t="inlineStr">
        <is>
          <t>Bonde de Santa Teresa (tramway historique) aller-retour + Largo dos Guimarães</t>
        </is>
      </c>
      <c r="C15" s="11" t="inlineStr"/>
      <c r="D15" s="25" t="inlineStr">
        <is>
          <t>BRL</t>
        </is>
      </c>
      <c r="E15" s="26" t="n">
        <v>20</v>
      </c>
      <c r="F15" s="26" t="n">
        <v>20</v>
      </c>
      <c r="G15" s="27">
        <f>IF($D15="","",E15/INDEX('Taux de change'!$B$5:$B$8,MATCH($D15,'Taux de change'!$A$5:$A$8,0)))</f>
        <v/>
      </c>
      <c r="H15" s="27">
        <f>IF($D15="","",F15/INDEX('Taux de change'!$B$5:$B$8,MATCH($D15,'Taux de change'!$A$5:$A$8,0)))</f>
        <v/>
      </c>
      <c r="I15" s="11" t="inlineStr">
        <is>
          <t>CB / Riocard</t>
        </is>
      </c>
    </row>
    <row r="16">
      <c r="A16" s="5" t="inlineStr">
        <is>
          <t>19h30–21h00</t>
        </is>
      </c>
      <c r="B16" s="6" t="inlineStr">
        <is>
          <t>Dîner à Lapa : feijoada ou picanha + caipirinha, avec samba live</t>
        </is>
      </c>
      <c r="C16" s="7" t="inlineStr">
        <is>
          <t>Le « couvert artístico » (R$ 15–30) s'ajoute souvent, plus 10 % de service : vérifiez l'addition.</t>
        </is>
      </c>
      <c r="D16" s="22" t="inlineStr">
        <is>
          <t>BRL</t>
        </is>
      </c>
      <c r="E16" s="23" t="n">
        <v>55</v>
      </c>
      <c r="F16" s="23" t="n">
        <v>95</v>
      </c>
      <c r="G16" s="24">
        <f>IF($D16="","",E16/INDEX('Taux de change'!$B$5:$B$8,MATCH($D16,'Taux de change'!$A$5:$A$8,0)))</f>
        <v/>
      </c>
      <c r="H16" s="24">
        <f>IF($D16="","",F16/INDEX('Taux de change'!$B$5:$B$8,MATCH($D16,'Taux de change'!$A$5:$A$8,0)))</f>
        <v/>
      </c>
      <c r="I16" s="7" t="inlineStr">
        <is>
          <t>CB / PIX</t>
        </is>
      </c>
    </row>
    <row r="18">
      <c r="A18" s="13" t="inlineStr">
        <is>
          <t>TOTAL JOUR 15</t>
        </is>
      </c>
      <c r="B18" s="13" t="n"/>
      <c r="C18" s="13" t="n"/>
      <c r="D18" s="13" t="n"/>
      <c r="E18" s="13" t="n"/>
      <c r="F18" s="13" t="n"/>
      <c r="G18" s="14">
        <f>SUM(G6:G16)</f>
        <v/>
      </c>
      <c r="H18" s="14">
        <f>SUM(H6:H16)</f>
        <v/>
      </c>
      <c r="I18" s="13" t="n"/>
    </row>
    <row r="20">
      <c r="A20" s="15" t="inlineStr">
        <is>
          <t>Détail par devise</t>
        </is>
      </c>
    </row>
    <row r="21">
      <c r="A21" s="16" t="inlineStr">
        <is>
          <t>Total R$ (BRL)</t>
        </is>
      </c>
      <c r="E21" s="32">
        <f>SUMIF($D$6:$D$16,"BRL",E6:E16)</f>
        <v/>
      </c>
      <c r="F21" s="32">
        <f>SUMIF($D$6:$D$16,"BRL",F6:F16)</f>
        <v/>
      </c>
    </row>
    <row r="23">
      <c r="A23" s="3" t="inlineStr">
        <is>
          <t>Colonnes E et F = fourchette basse / haute en monnaie locale. Colonnes G et H = conversion automatique via la feuille « Taux de change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2"/>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16 — RIO DE JANEIRO — jour 2</t>
        </is>
      </c>
    </row>
    <row r="2">
      <c r="A2" s="2" t="inlineStr">
        <is>
          <t>Pain de Sucre, Copacabana et Ipanema</t>
        </is>
      </c>
    </row>
    <row r="3">
      <c r="A3" s="3" t="inlineStr">
        <is>
          <t>Altitude : 0–396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07h30–08h30</t>
        </is>
      </c>
      <c r="B6" s="6" t="inlineStr">
        <is>
          <t>Petit-déjeuner</t>
        </is>
      </c>
      <c r="C6" s="7" t="inlineStr"/>
      <c r="D6" s="22" t="inlineStr">
        <is>
          <t>BRL</t>
        </is>
      </c>
      <c r="E6" s="23" t="n">
        <v>15</v>
      </c>
      <c r="F6" s="23" t="n">
        <v>30</v>
      </c>
      <c r="G6" s="24">
        <f>IF($D6="","",E6/INDEX('Taux de change'!$B$5:$B$8,MATCH($D6,'Taux de change'!$A$5:$A$8,0)))</f>
        <v/>
      </c>
      <c r="H6" s="24">
        <f>IF($D6="","",F6/INDEX('Taux de change'!$B$5:$B$8,MATCH($D6,'Taux de change'!$A$5:$A$8,0)))</f>
        <v/>
      </c>
      <c r="I6" s="7" t="inlineStr">
        <is>
          <t>CB / PIX</t>
        </is>
      </c>
    </row>
    <row r="7">
      <c r="A7" s="9" t="inlineStr">
        <is>
          <t>08h30–09h00</t>
        </is>
      </c>
      <c r="B7" s="10" t="inlineStr">
        <is>
          <t>Bus ou métro + marche → Praia Vermelha (Urca)</t>
        </is>
      </c>
      <c r="C7" s="11" t="inlineStr"/>
      <c r="D7" s="25" t="inlineStr">
        <is>
          <t>BRL</t>
        </is>
      </c>
      <c r="E7" s="26" t="n">
        <v>4.7</v>
      </c>
      <c r="F7" s="26" t="n">
        <v>7.9</v>
      </c>
      <c r="G7" s="27">
        <f>IF($D7="","",E7/INDEX('Taux de change'!$B$5:$B$8,MATCH($D7,'Taux de change'!$A$5:$A$8,0)))</f>
        <v/>
      </c>
      <c r="H7" s="27">
        <f>IF($D7="","",F7/INDEX('Taux de change'!$B$5:$B$8,MATCH($D7,'Taux de change'!$A$5:$A$8,0)))</f>
        <v/>
      </c>
      <c r="I7" s="11" t="inlineStr">
        <is>
          <t>CB sans contact</t>
        </is>
      </c>
    </row>
    <row r="8">
      <c r="A8" s="5" t="inlineStr">
        <is>
          <t>09h00–12h00</t>
        </is>
      </c>
      <c r="B8" s="6" t="inlineStr">
        <is>
          <t>BONDINHO DO PÃO DE AÇÚCAR — 2 téléphériques : Praia Vermelha → Morro da Urca (220 m) → Pain de Sucre (396 m)</t>
        </is>
      </c>
      <c r="C8" s="7" t="inlineStr">
        <is>
          <t>R$ 205 tarif général / R$ 160 pour les résidents au Brésil. Achetez en ligne sur bondinho.com.br : la file de la billetterie dépasse souvent 1 h. Le « Acesso Rápido » coupe-file est à R$ 325 — inutile si vous venez à 09h00.</t>
        </is>
      </c>
      <c r="D8" s="22" t="inlineStr">
        <is>
          <t>BRL</t>
        </is>
      </c>
      <c r="E8" s="23" t="n">
        <v>160</v>
      </c>
      <c r="F8" s="23" t="n">
        <v>205</v>
      </c>
      <c r="G8" s="24">
        <f>IF($D8="","",E8/INDEX('Taux de change'!$B$5:$B$8,MATCH($D8,'Taux de change'!$A$5:$A$8,0)))</f>
        <v/>
      </c>
      <c r="H8" s="24">
        <f>IF($D8="","",F8/INDEX('Taux de change'!$B$5:$B$8,MATCH($D8,'Taux de change'!$A$5:$A$8,0)))</f>
        <v/>
      </c>
      <c r="I8" s="7" t="inlineStr">
        <is>
          <t>CB en ligne</t>
        </is>
      </c>
    </row>
    <row r="9">
      <c r="A9" s="9" t="inlineStr">
        <is>
          <t>12h00–13h00</t>
        </is>
      </c>
      <c r="B9" s="10" t="inlineStr">
        <is>
          <t>Pista Cláudio Coutinho (sentier côtier gratuit au pied du Pain de Sucre, ouistitis)</t>
        </is>
      </c>
      <c r="C9" s="11" t="inlineStr"/>
      <c r="D9" s="33" t="n"/>
      <c r="E9" s="34" t="n"/>
      <c r="F9" s="34" t="n"/>
      <c r="G9" s="34" t="n"/>
      <c r="H9" s="34" t="n"/>
      <c r="I9" s="11" t="inlineStr">
        <is>
          <t>—</t>
        </is>
      </c>
    </row>
    <row r="10">
      <c r="A10" s="5" t="inlineStr">
        <is>
          <t>13h00–14h00</t>
        </is>
      </c>
      <c r="B10" s="6" t="inlineStr">
        <is>
          <t>Almoço à Urca ou Botafogo</t>
        </is>
      </c>
      <c r="C10" s="7" t="inlineStr"/>
      <c r="D10" s="22" t="inlineStr">
        <is>
          <t>BRL</t>
        </is>
      </c>
      <c r="E10" s="23" t="n">
        <v>40</v>
      </c>
      <c r="F10" s="23" t="n">
        <v>65</v>
      </c>
      <c r="G10" s="24">
        <f>IF($D10="","",E10/INDEX('Taux de change'!$B$5:$B$8,MATCH($D10,'Taux de change'!$A$5:$A$8,0)))</f>
        <v/>
      </c>
      <c r="H10" s="24">
        <f>IF($D10="","",F10/INDEX('Taux de change'!$B$5:$B$8,MATCH($D10,'Taux de change'!$A$5:$A$8,0)))</f>
        <v/>
      </c>
      <c r="I10" s="7" t="inlineStr">
        <is>
          <t>CB / PIX</t>
        </is>
      </c>
    </row>
    <row r="11">
      <c r="A11" s="9" t="inlineStr">
        <is>
          <t>14h30–17h00</t>
        </is>
      </c>
      <c r="B11" s="10" t="inlineStr">
        <is>
          <t>Plage de Copacabana : location chaise + parasol, água de coco, biscoito Globo, açaí</t>
        </is>
      </c>
      <c r="C11" s="11" t="inlineStr">
        <is>
          <t>Les vendeurs de plage acceptent presque tous le PIX ; sinon petites coupures. N'emportez sur le sable que le strict minimum.</t>
        </is>
      </c>
      <c r="D11" s="25" t="inlineStr">
        <is>
          <t>BRL</t>
        </is>
      </c>
      <c r="E11" s="26" t="n">
        <v>55</v>
      </c>
      <c r="F11" s="26" t="n">
        <v>90</v>
      </c>
      <c r="G11" s="27">
        <f>IF($D11="","",E11/INDEX('Taux de change'!$B$5:$B$8,MATCH($D11,'Taux de change'!$A$5:$A$8,0)))</f>
        <v/>
      </c>
      <c r="H11" s="27">
        <f>IF($D11="","",F11/INDEX('Taux de change'!$B$5:$B$8,MATCH($D11,'Taux de change'!$A$5:$A$8,0)))</f>
        <v/>
      </c>
      <c r="I11" s="11" t="inlineStr">
        <is>
          <t>Espèces / PIX</t>
        </is>
      </c>
    </row>
    <row r="12">
      <c r="A12" s="5" t="inlineStr">
        <is>
          <t>17h00–18h30</t>
        </is>
      </c>
      <c r="B12" s="6" t="inlineStr">
        <is>
          <t>Ipanema puis coucher de soleil sur la Pedra do Arpoador (gratuit, applaudissements au dernier rayon)</t>
        </is>
      </c>
      <c r="C12" s="7" t="inlineStr"/>
      <c r="D12" s="30" t="n"/>
      <c r="E12" s="31" t="n"/>
      <c r="F12" s="31" t="n"/>
      <c r="G12" s="31" t="n"/>
      <c r="H12" s="31" t="n"/>
      <c r="I12" s="7" t="inlineStr">
        <is>
          <t>—</t>
        </is>
      </c>
    </row>
    <row r="13">
      <c r="A13" s="9" t="inlineStr">
        <is>
          <t>18h30–19h30</t>
        </is>
      </c>
      <c r="B13" s="10" t="inlineStr">
        <is>
          <t>Rua Farme de Amoedo / Feira Hippie de Ipanema (le dimanche)</t>
        </is>
      </c>
      <c r="C13" s="11" t="inlineStr"/>
      <c r="D13" s="33" t="n"/>
      <c r="E13" s="34" t="n"/>
      <c r="F13" s="34" t="n"/>
      <c r="G13" s="34" t="n"/>
      <c r="H13" s="34" t="n"/>
      <c r="I13" s="11" t="inlineStr">
        <is>
          <t>—</t>
        </is>
      </c>
    </row>
    <row r="14">
      <c r="A14" s="5" t="inlineStr">
        <is>
          <t>20h00–21h30</t>
        </is>
      </c>
      <c r="B14" s="6" t="inlineStr">
        <is>
          <t>Dîner à Ipanema : moqueca ou bar à petiscos</t>
        </is>
      </c>
      <c r="C14" s="7" t="inlineStr"/>
      <c r="D14" s="22" t="inlineStr">
        <is>
          <t>BRL</t>
        </is>
      </c>
      <c r="E14" s="23" t="n">
        <v>60</v>
      </c>
      <c r="F14" s="23" t="n">
        <v>110</v>
      </c>
      <c r="G14" s="24">
        <f>IF($D14="","",E14/INDEX('Taux de change'!$B$5:$B$8,MATCH($D14,'Taux de change'!$A$5:$A$8,0)))</f>
        <v/>
      </c>
      <c r="H14" s="24">
        <f>IF($D14="","",F14/INDEX('Taux de change'!$B$5:$B$8,MATCH($D14,'Taux de change'!$A$5:$A$8,0)))</f>
        <v/>
      </c>
      <c r="I14" s="7" t="inlineStr">
        <is>
          <t>CB / PIX</t>
        </is>
      </c>
    </row>
    <row r="15">
      <c r="A15" s="9" t="inlineStr">
        <is>
          <t>Nuit</t>
        </is>
      </c>
      <c r="B15" s="10" t="inlineStr">
        <is>
          <t>Auberge Rio (2ᵉ nuit)</t>
        </is>
      </c>
      <c r="C15" s="11" t="inlineStr"/>
      <c r="D15" s="25" t="inlineStr">
        <is>
          <t>BRL</t>
        </is>
      </c>
      <c r="E15" s="26" t="n">
        <v>75</v>
      </c>
      <c r="F15" s="26" t="n">
        <v>140</v>
      </c>
      <c r="G15" s="27">
        <f>IF($D15="","",E15/INDEX('Taux de change'!$B$5:$B$8,MATCH($D15,'Taux de change'!$A$5:$A$8,0)))</f>
        <v/>
      </c>
      <c r="H15" s="27">
        <f>IF($D15="","",F15/INDEX('Taux de change'!$B$5:$B$8,MATCH($D15,'Taux de change'!$A$5:$A$8,0)))</f>
        <v/>
      </c>
      <c r="I15" s="11" t="inlineStr">
        <is>
          <t>CB</t>
        </is>
      </c>
    </row>
    <row r="17">
      <c r="A17" s="13" t="inlineStr">
        <is>
          <t>TOTAL JOUR 16</t>
        </is>
      </c>
      <c r="B17" s="13" t="n"/>
      <c r="C17" s="13" t="n"/>
      <c r="D17" s="13" t="n"/>
      <c r="E17" s="13" t="n"/>
      <c r="F17" s="13" t="n"/>
      <c r="G17" s="14">
        <f>SUM(G6:G15)</f>
        <v/>
      </c>
      <c r="H17" s="14">
        <f>SUM(H6:H15)</f>
        <v/>
      </c>
      <c r="I17" s="13" t="n"/>
    </row>
    <row r="19">
      <c r="A19" s="15" t="inlineStr">
        <is>
          <t>Détail par devise</t>
        </is>
      </c>
    </row>
    <row r="20">
      <c r="A20" s="16" t="inlineStr">
        <is>
          <t>Total R$ (BRL)</t>
        </is>
      </c>
      <c r="E20" s="32">
        <f>SUMIF($D$6:$D$15,"BRL",E6:E15)</f>
        <v/>
      </c>
      <c r="F20" s="32">
        <f>SUMIF($D$6:$D$15,"BRL",F6:F15)</f>
        <v/>
      </c>
    </row>
    <row r="22">
      <c r="A22" s="3" t="inlineStr">
        <is>
          <t>Colonnes E et F = fourchette basse / haute en monnaie locale. Colonnes G et H = conversion automatique via la feuille « Taux de change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1"/>
  <sheetViews>
    <sheetView showGridLines="0" zoomScale="100" workbookViewId="0">
      <pane ySplit="5" topLeftCell="A6" activePane="bottomLeft" state="frozen"/>
      <selection pane="bottomLeft" activeCell="A1" sqref="A1"/>
    </sheetView>
  </sheetViews>
  <sheetFormatPr baseColWidth="8" defaultRowHeight="15"/>
  <cols>
    <col width="14" customWidth="1" min="1" max="1"/>
    <col width="46" customWidth="1" min="2" max="2"/>
    <col width="52" customWidth="1" min="3" max="3"/>
    <col width="9" customWidth="1" min="4" max="4"/>
    <col width="15" customWidth="1" min="5" max="5"/>
    <col width="15" customWidth="1" min="6" max="6"/>
    <col width="13" customWidth="1" min="7" max="7"/>
    <col width="13" customWidth="1" min="8" max="8"/>
    <col width="17" customWidth="1" min="9" max="9"/>
  </cols>
  <sheetData>
    <row r="1">
      <c r="A1" s="1" t="inlineStr">
        <is>
          <t>JOUR 17 — RIO DE JANEIRO — jour 3</t>
        </is>
      </c>
    </row>
    <row r="2">
      <c r="A2" s="2" t="inlineStr">
        <is>
          <t>Jardin botanique, Parque Lage, Maracanã et Porto Maravilha</t>
        </is>
      </c>
    </row>
    <row r="3">
      <c r="A3" s="3" t="inlineStr">
        <is>
          <t>Altitude : 0–60 m</t>
        </is>
      </c>
    </row>
    <row r="5" ht="26" customHeight="1">
      <c r="A5" s="4" t="inlineStr">
        <is>
          <t>Horaires</t>
        </is>
      </c>
      <c r="B5" s="4" t="inlineStr">
        <is>
          <t>Activité / prestation</t>
        </is>
      </c>
      <c r="C5" s="4" t="inlineStr">
        <is>
          <t>Détail, vigilance, alternative</t>
        </is>
      </c>
      <c r="D5" s="4" t="inlineStr">
        <is>
          <t>Devise</t>
        </is>
      </c>
      <c r="E5" s="29" t="inlineStr">
        <is>
          <t>Coût local min</t>
        </is>
      </c>
      <c r="F5" s="29" t="inlineStr">
        <is>
          <t>Coût local max</t>
        </is>
      </c>
      <c r="G5" s="29" t="inlineStr">
        <is>
          <t>Coût USD min</t>
        </is>
      </c>
      <c r="H5" s="29" t="inlineStr">
        <is>
          <t>Coût USD max</t>
        </is>
      </c>
      <c r="I5" s="4" t="inlineStr">
        <is>
          <t>Paiement</t>
        </is>
      </c>
    </row>
    <row r="6">
      <c r="A6" s="5" t="inlineStr">
        <is>
          <t>07h30–08h30</t>
        </is>
      </c>
      <c r="B6" s="6" t="inlineStr">
        <is>
          <t>Petit-déjeuner</t>
        </is>
      </c>
      <c r="C6" s="7" t="inlineStr"/>
      <c r="D6" s="22" t="inlineStr">
        <is>
          <t>BRL</t>
        </is>
      </c>
      <c r="E6" s="23" t="n">
        <v>15</v>
      </c>
      <c r="F6" s="23" t="n">
        <v>30</v>
      </c>
      <c r="G6" s="24">
        <f>IF($D6="","",E6/INDEX('Taux de change'!$B$5:$B$8,MATCH($D6,'Taux de change'!$A$5:$A$8,0)))</f>
        <v/>
      </c>
      <c r="H6" s="24">
        <f>IF($D6="","",F6/INDEX('Taux de change'!$B$5:$B$8,MATCH($D6,'Taux de change'!$A$5:$A$8,0)))</f>
        <v/>
      </c>
      <c r="I6" s="7" t="inlineStr">
        <is>
          <t>CB / PIX</t>
        </is>
      </c>
    </row>
    <row r="7">
      <c r="A7" s="9" t="inlineStr">
        <is>
          <t>08h30–09h15</t>
        </is>
      </c>
      <c r="B7" s="10" t="inlineStr">
        <is>
          <t>Métro + bus ou Uber → Jardim Botânico</t>
        </is>
      </c>
      <c r="C7" s="11" t="inlineStr"/>
      <c r="D7" s="25" t="inlineStr">
        <is>
          <t>BRL</t>
        </is>
      </c>
      <c r="E7" s="26" t="n">
        <v>8</v>
      </c>
      <c r="F7" s="26" t="n">
        <v>35</v>
      </c>
      <c r="G7" s="27">
        <f>IF($D7="","",E7/INDEX('Taux de change'!$B$5:$B$8,MATCH($D7,'Taux de change'!$A$5:$A$8,0)))</f>
        <v/>
      </c>
      <c r="H7" s="27">
        <f>IF($D7="","",F7/INDEX('Taux de change'!$B$5:$B$8,MATCH($D7,'Taux de change'!$A$5:$A$8,0)))</f>
        <v/>
      </c>
      <c r="I7" s="11" t="inlineStr">
        <is>
          <t>CB</t>
        </is>
      </c>
    </row>
    <row r="8">
      <c r="A8" s="5" t="inlineStr">
        <is>
          <t>09h15–11h30</t>
        </is>
      </c>
      <c r="B8" s="6" t="inlineStr">
        <is>
          <t>JARDIN BOTANIQUE DE RIO (1808) : allée des palmiers impériaux, orchidarium, victorias regias — tarif visiteur étranger</t>
        </is>
      </c>
      <c r="C8" s="7" t="inlineStr">
        <is>
          <t>R$ 80 pour les étrangers non résidents, R$ 40 pour les résidents au Brésil. Billet sur jbrj.eleventickets.com.</t>
        </is>
      </c>
      <c r="D8" s="22" t="inlineStr">
        <is>
          <t>BRL</t>
        </is>
      </c>
      <c r="E8" s="23" t="n">
        <v>80</v>
      </c>
      <c r="F8" s="23" t="n">
        <v>80</v>
      </c>
      <c r="G8" s="24">
        <f>IF($D8="","",E8/INDEX('Taux de change'!$B$5:$B$8,MATCH($D8,'Taux de change'!$A$5:$A$8,0)))</f>
        <v/>
      </c>
      <c r="H8" s="24">
        <f>IF($D8="","",F8/INDEX('Taux de change'!$B$5:$B$8,MATCH($D8,'Taux de change'!$A$5:$A$8,0)))</f>
        <v/>
      </c>
      <c r="I8" s="7" t="inlineStr">
        <is>
          <t>CB en ligne</t>
        </is>
      </c>
    </row>
    <row r="9">
      <c r="A9" s="9" t="inlineStr">
        <is>
          <t>11h30–13h00</t>
        </is>
      </c>
      <c r="B9" s="10" t="inlineStr">
        <is>
          <t>Parque Lage (gratuit) : palais, piscine et vue sur le Christ + café dans la cour</t>
        </is>
      </c>
      <c r="C9" s="11" t="inlineStr"/>
      <c r="D9" s="25" t="inlineStr">
        <is>
          <t>BRL</t>
        </is>
      </c>
      <c r="E9" s="26" t="n">
        <v>25</v>
      </c>
      <c r="F9" s="26" t="n">
        <v>45</v>
      </c>
      <c r="G9" s="27">
        <f>IF($D9="","",E9/INDEX('Taux de change'!$B$5:$B$8,MATCH($D9,'Taux de change'!$A$5:$A$8,0)))</f>
        <v/>
      </c>
      <c r="H9" s="27">
        <f>IF($D9="","",F9/INDEX('Taux de change'!$B$5:$B$8,MATCH($D9,'Taux de change'!$A$5:$A$8,0)))</f>
        <v/>
      </c>
      <c r="I9" s="11" t="inlineStr">
        <is>
          <t>CB / PIX</t>
        </is>
      </c>
    </row>
    <row r="10">
      <c r="A10" s="5" t="inlineStr">
        <is>
          <t>13h00–14h00</t>
        </is>
      </c>
      <c r="B10" s="6" t="inlineStr">
        <is>
          <t>Almoço à Botafogo</t>
        </is>
      </c>
      <c r="C10" s="7" t="inlineStr"/>
      <c r="D10" s="22" t="inlineStr">
        <is>
          <t>BRL</t>
        </is>
      </c>
      <c r="E10" s="23" t="n">
        <v>40</v>
      </c>
      <c r="F10" s="23" t="n">
        <v>60</v>
      </c>
      <c r="G10" s="24">
        <f>IF($D10="","",E10/INDEX('Taux de change'!$B$5:$B$8,MATCH($D10,'Taux de change'!$A$5:$A$8,0)))</f>
        <v/>
      </c>
      <c r="H10" s="24">
        <f>IF($D10="","",F10/INDEX('Taux de change'!$B$5:$B$8,MATCH($D10,'Taux de change'!$A$5:$A$8,0)))</f>
        <v/>
      </c>
      <c r="I10" s="7" t="inlineStr">
        <is>
          <t>CB / PIX</t>
        </is>
      </c>
    </row>
    <row r="11">
      <c r="A11" s="9" t="inlineStr">
        <is>
          <t>14h30–16h30</t>
        </is>
      </c>
      <c r="B11" s="10" t="inlineStr">
        <is>
          <t>MARACANÃ — tour guidé du stade (vestiaires, tunnel, pelouse, salle des trophées)</t>
        </is>
      </c>
      <c r="C11" s="11" t="inlineStr">
        <is>
          <t>R$ 94 plein tarif sur tourmaracana.com.br. Si un match Flamengo/Fluminense/Vasco tombe pendant votre séjour, le billet de tribune (R$ 60–150) vaut largement mieux que le tour.</t>
        </is>
      </c>
      <c r="D11" s="25" t="inlineStr">
        <is>
          <t>BRL</t>
        </is>
      </c>
      <c r="E11" s="26" t="n">
        <v>94</v>
      </c>
      <c r="F11" s="26" t="n">
        <v>94</v>
      </c>
      <c r="G11" s="27">
        <f>IF($D11="","",E11/INDEX('Taux de change'!$B$5:$B$8,MATCH($D11,'Taux de change'!$A$5:$A$8,0)))</f>
        <v/>
      </c>
      <c r="H11" s="27">
        <f>IF($D11="","",F11/INDEX('Taux de change'!$B$5:$B$8,MATCH($D11,'Taux de change'!$A$5:$A$8,0)))</f>
        <v/>
      </c>
      <c r="I11" s="11" t="inlineStr">
        <is>
          <t>CB en ligne</t>
        </is>
      </c>
    </row>
    <row r="12">
      <c r="A12" s="5" t="inlineStr">
        <is>
          <t>17h00–19h00</t>
        </is>
      </c>
      <c r="B12" s="6" t="inlineStr">
        <is>
          <t>Boulevard Olímpico : fresque « Etnias » de Kobra, AquaRio, Museu do Amanhã (Calatrava)</t>
        </is>
      </c>
      <c r="C12" s="7" t="inlineStr">
        <is>
          <t>Museu do Amanhã R$ 30–40 ; gratuit le mardi. Zone animée le week-end (roda de samba de la Pedra do Sal le lundi soir).</t>
        </is>
      </c>
      <c r="D12" s="22" t="inlineStr">
        <is>
          <t>BRL</t>
        </is>
      </c>
      <c r="E12" s="23" t="n">
        <v>0</v>
      </c>
      <c r="F12" s="23" t="n">
        <v>40</v>
      </c>
      <c r="G12" s="24">
        <f>IF($D12="","",E12/INDEX('Taux de change'!$B$5:$B$8,MATCH($D12,'Taux de change'!$A$5:$A$8,0)))</f>
        <v/>
      </c>
      <c r="H12" s="24">
        <f>IF($D12="","",F12/INDEX('Taux de change'!$B$5:$B$8,MATCH($D12,'Taux de change'!$A$5:$A$8,0)))</f>
        <v/>
      </c>
      <c r="I12" s="7" t="inlineStr">
        <is>
          <t>CB</t>
        </is>
      </c>
    </row>
    <row r="13">
      <c r="A13" s="9" t="inlineStr">
        <is>
          <t>19h30–21h30</t>
        </is>
      </c>
      <c r="B13" s="10" t="inlineStr">
        <is>
          <t>Dîner d'adieu : churrascaria rodízio ou botequim de Botafogo</t>
        </is>
      </c>
      <c r="C13" s="11" t="inlineStr"/>
      <c r="D13" s="25" t="inlineStr">
        <is>
          <t>BRL</t>
        </is>
      </c>
      <c r="E13" s="26" t="n">
        <v>80</v>
      </c>
      <c r="F13" s="26" t="n">
        <v>160</v>
      </c>
      <c r="G13" s="27">
        <f>IF($D13="","",E13/INDEX('Taux de change'!$B$5:$B$8,MATCH($D13,'Taux de change'!$A$5:$A$8,0)))</f>
        <v/>
      </c>
      <c r="H13" s="27">
        <f>IF($D13="","",F13/INDEX('Taux de change'!$B$5:$B$8,MATCH($D13,'Taux de change'!$A$5:$A$8,0)))</f>
        <v/>
      </c>
      <c r="I13" s="11" t="inlineStr">
        <is>
          <t>CB / PIX</t>
        </is>
      </c>
    </row>
    <row r="14">
      <c r="A14" s="5" t="inlineStr">
        <is>
          <t>Nuit</t>
        </is>
      </c>
      <c r="B14" s="6" t="inlineStr">
        <is>
          <t>Auberge Rio (3ᵉ nuit)</t>
        </is>
      </c>
      <c r="C14" s="7" t="inlineStr"/>
      <c r="D14" s="22" t="inlineStr">
        <is>
          <t>BRL</t>
        </is>
      </c>
      <c r="E14" s="23" t="n">
        <v>75</v>
      </c>
      <c r="F14" s="23" t="n">
        <v>140</v>
      </c>
      <c r="G14" s="24">
        <f>IF($D14="","",E14/INDEX('Taux de change'!$B$5:$B$8,MATCH($D14,'Taux de change'!$A$5:$A$8,0)))</f>
        <v/>
      </c>
      <c r="H14" s="24">
        <f>IF($D14="","",F14/INDEX('Taux de change'!$B$5:$B$8,MATCH($D14,'Taux de change'!$A$5:$A$8,0)))</f>
        <v/>
      </c>
      <c r="I14" s="7" t="inlineStr">
        <is>
          <t>CB</t>
        </is>
      </c>
    </row>
    <row r="16">
      <c r="A16" s="13" t="inlineStr">
        <is>
          <t>TOTAL JOUR 17</t>
        </is>
      </c>
      <c r="B16" s="13" t="n"/>
      <c r="C16" s="13" t="n"/>
      <c r="D16" s="13" t="n"/>
      <c r="E16" s="13" t="n"/>
      <c r="F16" s="13" t="n"/>
      <c r="G16" s="14">
        <f>SUM(G6:G14)</f>
        <v/>
      </c>
      <c r="H16" s="14">
        <f>SUM(H6:H14)</f>
        <v/>
      </c>
      <c r="I16" s="13" t="n"/>
    </row>
    <row r="18">
      <c r="A18" s="15" t="inlineStr">
        <is>
          <t>Détail par devise</t>
        </is>
      </c>
    </row>
    <row r="19">
      <c r="A19" s="16" t="inlineStr">
        <is>
          <t>Total R$ (BRL)</t>
        </is>
      </c>
      <c r="E19" s="32">
        <f>SUMIF($D$6:$D$14,"BRL",E6:E14)</f>
        <v/>
      </c>
      <c r="F19" s="32">
        <f>SUMIF($D$6:$D$14,"BRL",F6:F14)</f>
        <v/>
      </c>
    </row>
    <row r="21">
      <c r="A21" s="3" t="inlineStr">
        <is>
          <t>Colonnes E et F = fourchette basse / haute en monnaie locale. Colonnes G et H = conversion automatique via la feuille « Taux de change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showGridLines="0" workbookViewId="0">
      <pane ySplit="5" topLeftCell="A6" activePane="bottomLeft" state="frozen"/>
      <selection pane="bottomLeft" activeCell="A1" sqref="A1"/>
    </sheetView>
  </sheetViews>
  <sheetFormatPr baseColWidth="8" defaultRowHeight="15"/>
  <cols>
    <col width="20" customWidth="1" min="1" max="1"/>
    <col width="52" customWidth="1" min="2" max="2"/>
    <col width="52" customWidth="1" min="3" max="3"/>
    <col width="74" customWidth="1" min="4" max="4"/>
  </cols>
  <sheetData>
    <row r="1">
      <c r="A1" s="1" t="inlineStr">
        <is>
          <t>Paiements par pays</t>
        </is>
      </c>
    </row>
    <row r="2">
      <c r="A2" s="2" t="inlineStr">
        <is>
          <t>Où la carte passe, où il faut du liquide, et comment retirer sans se faire piéger.</t>
        </is>
      </c>
    </row>
    <row r="5" ht="26" customHeight="1">
      <c r="A5" s="4" t="inlineStr">
        <is>
          <t>Pays</t>
        </is>
      </c>
      <c r="B5" s="4" t="inlineStr">
        <is>
          <t>Carte bancaire</t>
        </is>
      </c>
      <c r="C5" s="4" t="inlineStr">
        <is>
          <t>Espèces</t>
        </is>
      </c>
      <c r="D5" s="4" t="inlineStr">
        <is>
          <t>Distributeurs et change</t>
        </is>
      </c>
    </row>
    <row r="6" ht="78" customHeight="1">
      <c r="A6" s="5" t="inlineStr">
        <is>
          <t>PÉROUSol (S/)</t>
        </is>
      </c>
      <c r="B6" s="6" t="inlineStr">
        <is>
          <t>Acceptée dans les hôtels, restaurants et supermarchés de Lima et Puno. Visa passe partout, Mastercard moins. Les billets de bus Civa et Cruz del Sur s'achètent en ligne par carte.</t>
        </is>
      </c>
      <c r="C6" s="6" t="inlineStr">
        <is>
          <t>Indispensable pour : mototaxis, menús, marchés, entrées de sites, taxe de terminal. Le paiement local se fait surtout par Yape / Plin (QR), inaccessible sans compte bancaire péruvien.</t>
        </is>
      </c>
      <c r="D6" s="6" t="inlineStr">
        <is>
          <t>BCP, Interbank, Scotiabank : frais de S/ 18–25 par retrait. Banco de la Nación est le moins cher. Refusez toujours la « conversion en euros » proposée par le DAB (DCC).</t>
        </is>
      </c>
    </row>
    <row r="7" ht="78" customHeight="1">
      <c r="A7" s="9" t="inlineStr">
        <is>
          <t>BOLIVIEBoliviano (Bs)</t>
        </is>
      </c>
      <c r="B7" s="10" t="inlineStr">
        <is>
          <t>Le maillon faible du voyage. Carte acceptée seulement dans certains hôtels et restaurants de La Paz et Santa Cruz, souvent avec +5 % de majoration. À Copacabana, sur l'Isla del Sol, dans les bus et aux frontières : aucune carte.</t>
        </is>
      </c>
      <c r="C7" s="10" t="inlineStr">
        <is>
          <t>Tout se paie en espèces. Les Boliviens paient par QR bancaire (SIMPLE, BCP), impossible sans compte local. Gardez des petites coupures : personne ne rend sur un billet de Bs 200 (barge de Tiquina, tickets communautaires, micros).</t>
        </is>
      </c>
      <c r="D7" s="10" t="inlineStr">
        <is>
          <t>DAB souvent vides ou plafonnés à Bs 700–2 000 par retrait, avec Bs 25–35 de frais locaux. Solution : arriver avec des dollars US en billets neufs et les changer en casa de cambio. Un billet froissé, annoté ou légèrement déchiré est refusé. Taux officiel BCB Bs 12,04/$ ; marché parallèle Bs ~11,75/$ — l'écart s'est refermé depuis la dévaluation de décembre 2025, le change en casa de cambio est donc redevenu correct.</t>
        </is>
      </c>
    </row>
    <row r="8" ht="78" customHeight="1">
      <c r="A8" s="5" t="inlineStr">
        <is>
          <t>PARAGUAYGuaraní (Gs)</t>
        </is>
      </c>
      <c r="B8" s="6" t="inlineStr">
        <is>
          <t>Largement acceptée à Asunción : restaurants, centres commerciaux, supermarchés, Bolt et Uber. Le billet international de bus s'achète par carte au guichet du terminal.</t>
        </is>
      </c>
      <c r="C8" s="6" t="inlineStr">
        <is>
          <t>Nécessaire au Mercado 4, dans les bus interurbains, à Areguá et pour les pourboires. Les bus urbains d'Asunción n'acceptent plus les espèces : carte « Billetaje Electrónico » rechargeable (Gs 10 000).</t>
        </is>
      </c>
      <c r="D8" s="6" t="inlineStr">
        <is>
          <t>DAB Itaú, Continental, Ueno : frais de Gs 25 000–35 000. Certains DAB distribuent aussi des dollars. Ne gardez aucun guaraní en sortant : c'est une monnaie inéchangeable hors du Paraguay.</t>
        </is>
      </c>
    </row>
    <row r="9" ht="78" customHeight="1">
      <c r="A9" s="9" t="inlineStr">
        <is>
          <t>BRÉSILReal (R$)</t>
        </is>
      </c>
      <c r="B9" s="10" t="inlineStr">
        <is>
          <t>Le pays le plus facile du continent. Sans contact accepté partout, y compris aux tourniquets du métro de São Paulo et de Rio, chez les vendeurs de plage et dans les bus longue distance.</t>
        </is>
      </c>
      <c r="C9" s="10" t="inlineStr">
        <is>
          <t>Presque inutile. Le PIX (virement instantané par QR) est le standard national, mais il demande un CPF brésilien. Gardez R$ 100–150 en petites coupures pour les plages, le bonde et les dons.</t>
        </is>
      </c>
      <c r="D9" s="10" t="inlineStr">
        <is>
          <t>Banco24Horas, Bradesco, Banco do Brasil : R$ 20–25 par retrait, plafond R$ 1 000–1 500. Évitez les DAB de l'aéroport et de la rodoviária. Le taux affiché par une carte type Revolut/Wise est meilleur que toutes les casas de câmbio.</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
  <sheetViews>
    <sheetView showGridLines="0" workbookViewId="0">
      <pane ySplit="5" topLeftCell="A6" activePane="bottomLeft" state="frozen"/>
      <selection pane="bottomLeft" activeCell="A1" sqref="A1"/>
    </sheetView>
  </sheetViews>
  <sheetFormatPr baseColWidth="8" defaultRowHeight="15"/>
  <cols>
    <col width="28" customWidth="1" min="1" max="1"/>
    <col width="26" customWidth="1" min="2" max="2"/>
    <col width="86" customWidth="1" min="3" max="3"/>
    <col width="50" customWidth="1" min="4" max="4"/>
  </cols>
  <sheetData>
    <row r="1">
      <c r="A1" s="1" t="inlineStr">
        <is>
          <t>Frontieres</t>
        </is>
      </c>
    </row>
    <row r="2">
      <c r="A2" s="2" t="inlineStr">
        <is>
          <t>Trois passages terrestres. Aucun ne coûte un centime officiellement — mais l'un d'eux peut vous refouler.</t>
        </is>
      </c>
    </row>
    <row r="5" ht="26" customHeight="1">
      <c r="A5" s="4" t="inlineStr">
        <is>
          <t>Passage</t>
        </is>
      </c>
      <c r="B5" s="4" t="inlineStr">
        <is>
          <t>Où et quand</t>
        </is>
      </c>
      <c r="C5" s="4" t="inlineStr">
        <is>
          <t>Formalités</t>
        </is>
      </c>
      <c r="D5" s="4" t="inlineStr">
        <is>
          <t>Frais officiels</t>
        </is>
      </c>
    </row>
    <row r="6" ht="78" customHeight="1">
      <c r="A6" s="5" t="inlineStr">
        <is>
          <t>Pérou → BolivieYunguyo / Kasani</t>
        </is>
      </c>
      <c r="B6" s="6" t="inlineStr">
        <is>
          <t>J3, ~09h30–11h00Compter 45 min à 1 h 30</t>
        </is>
      </c>
      <c r="C6" s="6" t="inlineStr">
        <is>
          <t>Descente du bus, tampon de sortie côté péruvien (Migraciones Yunguyo), 300 m à pied, puis tampon d'entrée côté bolivien (Migración Kasani). Pas de visa pour un passeport français, séjour de 90 jours — demandez-le explicitement, certains agents tamponnent 30 jours par défaut.</t>
        </is>
      </c>
      <c r="D6" s="6" t="inlineStr">
        <is>
          <t>0Si on vous réclame une « boleta » de Bs 10–20 ou un « impuesto municipal », demandez un reçu officiel : cette taxe n'existe pas.</t>
        </is>
      </c>
    </row>
    <row r="7" ht="78" customHeight="1">
      <c r="A7" s="9" t="inlineStr">
        <is>
          <t>Bolivie → ParaguayIbibobo → Infante Rivarola → Mariscal Estigarribia</t>
        </is>
      </c>
      <c r="B7" s="10" t="inlineStr">
        <is>
          <t>J9, ~07h00–12h00Compter 3 à 5 h au total</t>
        </is>
      </c>
      <c r="C7" s="10" t="inlineStr">
        <is>
          <t>Le passage le plus long et le plus strict du voyage. Tampon de sortie bolivien, 100 km de no man's land, puis au Paraguay : migration + contrôle sanitaire du carnet de vaccination contre la fièvre jaune + fouille douanière complète des sacs (contrebande). Le certificat est obligatoire de 1 à 59 ans pour tout voyageur venant des départements de Santa Cruz ou du Beni, et la vaccination doit dater de plus de 10 jours. Pas de visa pour les Français, 90 jours.</t>
        </is>
      </c>
      <c r="D7" s="10" t="inlineStr">
        <is>
          <t>0Aucune taxe officielle d'entrée ni de sortie. Prévoyez malgré tout Bs 20–40 en petites coupures pour les WC et l'eau aux postes.</t>
        </is>
      </c>
    </row>
    <row r="8" ht="78" customHeight="1">
      <c r="A8" s="5" t="inlineStr">
        <is>
          <t>Paraguay → BrésilCiudad del Este / Foz do Iguaçu (Puente de la Amistad)</t>
        </is>
      </c>
      <c r="B8" s="6" t="inlineStr">
        <is>
          <t>J12, ~12h30–14h30Compter 1 h 30 à 2 h</t>
        </is>
      </c>
      <c r="C8" s="6" t="inlineStr">
        <is>
          <t>Le piège classique du voyageur. Beaucoup de bus ne marquent l'arrêt que du côté brésilien : il faut descendre avec tous ses bagages et exiger les deux tampons. Sans tampon de sortie paraguayen, vous serez considéré comme ayant dépassé votre séjour et sanctionné lors d'un contrôle ultérieur. Pas de visa pour les Français, 90 jours.</t>
        </is>
      </c>
      <c r="D8" s="6" t="inlineStr">
        <is>
          <t>0Le Brésil n'exige pas de certificat de fièvre jaune à l'entrée, mais il reste vivement recommandé (et vous l'aurez déjà pour le Paraguay).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5"/>
  <sheetViews>
    <sheetView showGridLines="0" workbookViewId="0">
      <pane ySplit="5" topLeftCell="A6" activePane="bottomLeft" state="frozen"/>
      <selection pane="bottomLeft" activeCell="A1" sqref="A1"/>
    </sheetView>
  </sheetViews>
  <sheetFormatPr baseColWidth="8" defaultRowHeight="15"/>
  <cols>
    <col width="46" customWidth="1" min="1" max="1"/>
    <col width="12" customWidth="1" min="2" max="2"/>
    <col width="12" customWidth="1" min="3" max="3"/>
    <col width="16" customWidth="1" min="4" max="4"/>
    <col width="92" customWidth="1" min="5" max="5"/>
  </cols>
  <sheetData>
    <row r="1">
      <c r="A1" s="1" t="inlineStr">
        <is>
          <t>Coûts hors planning quotidien</t>
        </is>
      </c>
    </row>
    <row r="2">
      <c r="A2" s="2" t="inlineStr">
        <is>
          <t>À prévoir avant le départ ou en réserve. Montants en euros, payés depuis la France.</t>
        </is>
      </c>
    </row>
    <row r="5" ht="26" customHeight="1">
      <c r="A5" s="4" t="inlineStr">
        <is>
          <t>Poste</t>
        </is>
      </c>
      <c r="B5" s="29" t="inlineStr">
        <is>
          <t>Min €</t>
        </is>
      </c>
      <c r="C5" s="29" t="inlineStr">
        <is>
          <t>Max €</t>
        </is>
      </c>
      <c r="D5" s="4" t="inlineStr">
        <is>
          <t>Paiement</t>
        </is>
      </c>
      <c r="E5" s="4" t="inlineStr">
        <is>
          <t>Détail</t>
        </is>
      </c>
    </row>
    <row r="6">
      <c r="A6" s="5" t="inlineStr">
        <is>
          <t>Vaccin fièvre jaune (Stamaril) + carnet international</t>
        </is>
      </c>
      <c r="B6" s="39" t="n">
        <v>60</v>
      </c>
      <c r="C6" s="39" t="n">
        <v>90</v>
      </c>
      <c r="D6" s="7" t="inlineStr">
        <is>
          <t>CB</t>
        </is>
      </c>
      <c r="E6" s="7" t="inlineStr">
        <is>
          <t>OBLIGATOIRE pour entrer au Paraguay depuis Santa Cruz. À faire au moins 10 jours avant le passage de frontière, en centre de vaccinations internationales.</t>
        </is>
      </c>
    </row>
    <row r="7">
      <c r="A7" s="9" t="inlineStr">
        <is>
          <t>Assurance voyage / rapatriement 3 semaines (Chapka, Heymondo, ACS)</t>
        </is>
      </c>
      <c r="B7" s="40" t="n">
        <v>45</v>
      </c>
      <c r="C7" s="40" t="n">
        <v>90</v>
      </c>
      <c r="D7" s="11" t="inlineStr">
        <is>
          <t>CB</t>
        </is>
      </c>
      <c r="E7" s="11" t="inlineStr">
        <is>
          <t>Indispensable : la Route de la Mort et l'altitude sont souvent exclues des assurances de carte bancaire.</t>
        </is>
      </c>
    </row>
    <row r="8">
      <c r="A8" s="5" t="inlineStr">
        <is>
          <t>Consultation santé voyage + traitement altitude (acétazolamide)</t>
        </is>
      </c>
      <c r="B8" s="39" t="n">
        <v>25</v>
      </c>
      <c r="C8" s="39" t="n">
        <v>50</v>
      </c>
      <c r="D8" s="7" t="inlineStr">
        <is>
          <t>CB</t>
        </is>
      </c>
      <c r="E8" s="7" t="inlineStr"/>
    </row>
    <row r="9">
      <c r="A9" s="9" t="inlineStr">
        <is>
          <t>eSIM multi-pays Amérique du Sud 20 Go (Airalo, Holafly) — alternative aux 4 SIM locales</t>
        </is>
      </c>
      <c r="B9" s="40" t="n">
        <v>35</v>
      </c>
      <c r="C9" s="40" t="n">
        <v>55</v>
      </c>
      <c r="D9" s="11" t="inlineStr">
        <is>
          <t>CB</t>
        </is>
      </c>
      <c r="E9" s="11" t="inlineStr">
        <is>
          <t>Sinon : Claro PE S/ 30, Entel BO Bs 50, Tigo PY Gs 50 000, Vivo BR R$ 40 ≈ $35 au total.</t>
        </is>
      </c>
    </row>
    <row r="10">
      <c r="A10" s="5" t="inlineStr">
        <is>
          <t>Lessive : 4 lavages au kilo sur le trajet</t>
        </is>
      </c>
      <c r="B10" s="39" t="n">
        <v>18</v>
      </c>
      <c r="C10" s="39" t="n">
        <v>30</v>
      </c>
      <c r="D10" s="7" t="inlineStr">
        <is>
          <t>Espèces</t>
        </is>
      </c>
      <c r="E10" s="7" t="inlineStr">
        <is>
          <t>Pérou S/ 8–12/kg · Bolivie Bs 12–18/kg · Paraguay Gs 20 000/kg · Brésil R$ 20–28/kg.</t>
        </is>
      </c>
    </row>
    <row r="11">
      <c r="A11" s="9" t="inlineStr">
        <is>
          <t>Frais bancaires : 6–8 retraits DAB + commissions de change</t>
        </is>
      </c>
      <c r="B11" s="40" t="n">
        <v>45</v>
      </c>
      <c r="C11" s="40" t="n">
        <v>90</v>
      </c>
      <c r="D11" s="11" t="inlineStr">
        <is>
          <t>—</t>
        </is>
      </c>
      <c r="E11" s="11" t="inlineStr">
        <is>
          <t>Prenez une carte sans frais (Revolut, N26, Wise). Les DAB boliviens facturent Bs 25–35 par retrait EN PLUS de votre banque.</t>
        </is>
      </c>
    </row>
    <row r="12">
      <c r="A12" s="5" t="inlineStr">
        <is>
          <t>Réserve « imprévus » : grève de bus, bus annulé au Chaco, nuit d'hôtel forcée, pharmacie</t>
        </is>
      </c>
      <c r="B12" s="39" t="n">
        <v>150</v>
      </c>
      <c r="C12" s="39" t="n">
        <v>250</v>
      </c>
      <c r="D12" s="7" t="inlineStr">
        <is>
          <t>—</t>
        </is>
      </c>
      <c r="E12" s="7" t="inlineStr">
        <is>
          <t>Le tronçon Santa Cruz → Asunción n'a qu'un départ par jour, 5 jours sur 7 : une annulation coûte une nuit + un jour.</t>
        </is>
      </c>
    </row>
    <row r="13">
      <c r="A13" s="9" t="inlineStr">
        <is>
          <t>Coussin de cash en dollars US — billets neufs, non pliés, non annotés</t>
        </is>
      </c>
      <c r="B13" s="40" t="n">
        <v>300</v>
      </c>
      <c r="C13" s="40" t="n">
        <v>400</v>
      </c>
      <c r="D13" s="11" t="inlineStr">
        <is>
          <t>Espèces</t>
        </is>
      </c>
      <c r="E13" s="11" t="inlineStr">
        <is>
          <t>Pour la Bolivie surtout : DAB régulièrement vides et plafonnés. Les casas de cambio refusent tout billet marqué ou déchiré.</t>
        </is>
      </c>
    </row>
    <row r="15">
      <c r="A15" s="13" t="inlineStr">
        <is>
          <t>TOTAL HORS PLANNING</t>
        </is>
      </c>
      <c r="B15" s="41">
        <f>SUM(B6:B13)</f>
        <v/>
      </c>
      <c r="C15" s="41">
        <f>SUM(C6:C13)</f>
        <v/>
      </c>
      <c r="D15" s="13" t="n"/>
      <c r="E15" s="13" t="inlineStr">
        <is>
          <t>Dont 300–400 € de réserve en cash qui seront dépensés sur place, donc déjà comptés dans les totaux journaliers.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0"/>
  <sheetViews>
    <sheetView showGridLines="0" workbookViewId="0">
      <selection activeCell="A1" sqref="A1"/>
    </sheetView>
  </sheetViews>
  <sheetFormatPr baseColWidth="8" defaultRowHeight="15"/>
  <cols>
    <col width="34" customWidth="1" min="1" max="1"/>
    <col width="118" customWidth="1" min="2" max="2"/>
  </cols>
  <sheetData>
    <row r="1">
      <c r="A1" s="1" t="inlineStr">
        <is>
          <t>Ce qu'il faut savoir avant de valider ce planning</t>
        </is>
      </c>
    </row>
    <row r="2">
      <c r="A2" s="2" t="inlineStr">
        <is>
          <t>Points de fragilité, budget moyen par pays, économies possibles et fiabilité des prix.</t>
        </is>
      </c>
    </row>
    <row r="4">
      <c r="A4" s="42" t="inlineStr">
        <is>
          <t>LES 4 POINTS DE FRAGILITÉ</t>
        </is>
      </c>
      <c r="B4" s="43" t="n"/>
    </row>
    <row r="5" ht="30" customHeight="1">
      <c r="A5" s="15" t="inlineStr">
        <is>
          <t>•</t>
        </is>
      </c>
      <c r="B5" s="44" t="inlineStr">
        <is>
          <t>Bus Santa Cruz → Asunción : un seul départ par jour, 5 jours sur 7 (lun, mar, mer, ven, sam à 19h00). Si le J8 tombe un jeudi ou un dimanche, vous perdez 24 h.</t>
        </is>
      </c>
    </row>
    <row r="6" ht="30" customHeight="1">
      <c r="A6" s="15" t="inlineStr">
        <is>
          <t>•</t>
        </is>
      </c>
      <c r="B6" s="44" t="inlineStr">
        <is>
          <t>Nord de l'Isla del Sol (Roca Sagrada, Chincana) : fermé par intermittence depuis 2017 pour conflit entre communautés. Demandez au guichet du quai AVANT d'acheter le bateau.</t>
        </is>
      </c>
    </row>
    <row r="7" ht="30" customHeight="1">
      <c r="A7" s="15" t="inlineStr">
        <is>
          <t>•</t>
        </is>
      </c>
      <c r="B7" s="44" t="inlineStr">
        <is>
          <t>Blocages routiers boliviens (bloqueos) : fréquents, ils coupent l'axe La Paz – Santa Cruz sans préavis. Gardez une journée tampon.</t>
        </is>
      </c>
    </row>
    <row r="8" ht="30" customHeight="1">
      <c r="A8" s="15" t="inlineStr">
        <is>
          <t>•</t>
        </is>
      </c>
      <c r="B8" s="44" t="inlineStr">
        <is>
          <t>Altitude : Lima 154 m → Puno 3 827 m en une nuit de bus. C'est le vrai risque du voyage, bien avant la Route de la Mort. Demi-journée de repos au J2, sans négociation.</t>
        </is>
      </c>
    </row>
    <row r="10">
      <c r="A10" s="42" t="inlineStr">
        <is>
          <t>OBLIGATOIRE AVANT LE DÉPART</t>
        </is>
      </c>
      <c r="B10" s="43" t="n"/>
    </row>
    <row r="11" ht="30" customHeight="1">
      <c r="A11" s="15" t="inlineStr">
        <is>
          <t>•</t>
        </is>
      </c>
      <c r="B11" s="44" t="inlineStr">
        <is>
          <t>Vaccin contre la fièvre jaune (Stamaril) + carnet international de vaccination, au moins 10 jours avant le passage Bolivie → Paraguay.</t>
        </is>
      </c>
    </row>
    <row r="12" ht="30" customHeight="1">
      <c r="A12" s="15" t="inlineStr">
        <is>
          <t>•</t>
        </is>
      </c>
      <c r="B12" s="44" t="inlineStr">
        <is>
          <t>Le Paraguay l'exige (Résolution 268/2025) pour tout voyageur de 1 à 59 ans venant d'une zone à risque. Le département de Santa Cruz, d'où part votre bus, en fait partie.</t>
        </is>
      </c>
    </row>
    <row r="13" ht="30" customHeight="1">
      <c r="A13" s="15" t="inlineStr">
        <is>
          <t>•</t>
        </is>
      </c>
      <c r="B13" s="44" t="inlineStr">
        <is>
          <t>Sans carnet valide, vous êtes refoulé au poste de Mariscal Estigarribia, en plein Chaco, à 700 km d'Asunción.</t>
        </is>
      </c>
    </row>
    <row r="14" ht="30" customHeight="1">
      <c r="A14" s="15" t="inlineStr">
        <is>
          <t>•</t>
        </is>
      </c>
      <c r="B14" s="44" t="inlineStr">
        <is>
          <t>Dollars US en billets neufs, non pliés, non annotés, pour la Bolivie : les casas de cambio refusent tout billet marqué ou déchiré.</t>
        </is>
      </c>
    </row>
    <row r="16">
      <c r="A16" s="42" t="inlineStr">
        <is>
          <t>COÛT D'UNE JOURNÉE MOYENNE</t>
        </is>
      </c>
      <c r="B16" s="43" t="n"/>
    </row>
    <row r="17" ht="30" customHeight="1">
      <c r="A17" s="15" t="inlineStr">
        <is>
          <t>•</t>
        </is>
      </c>
      <c r="B17" s="44" t="inlineStr">
        <is>
          <t>Pérou : environ 45 $/jour (auberge 12 $, repas 12 $, transports 8 $, visites 8 $).</t>
        </is>
      </c>
    </row>
    <row r="18" ht="30" customHeight="1">
      <c r="A18" s="15" t="inlineStr">
        <is>
          <t>•</t>
        </is>
      </c>
      <c r="B18" s="44" t="inlineStr">
        <is>
          <t>Bolivie : environ 35 $/jour hors Route de la Mort — le pays le moins cher du parcours.</t>
        </is>
      </c>
    </row>
    <row r="19" ht="30" customHeight="1">
      <c r="A19" s="15" t="inlineStr">
        <is>
          <t>•</t>
        </is>
      </c>
      <c r="B19" s="44" t="inlineStr">
        <is>
          <t>Paraguay : environ 50 $/jour — plus cher que la Bolivie, moins que le Brésil.</t>
        </is>
      </c>
    </row>
    <row r="20" ht="30" customHeight="1">
      <c r="A20" s="15" t="inlineStr">
        <is>
          <t>•</t>
        </is>
      </c>
      <c r="B20" s="44" t="inlineStr">
        <is>
          <t>Brésil : environ 85 $/jour. Les entrées pèsent lourd (Christ 26 $, Pain de Sucre 40 $, Jardin botanique 16 $, Maracanã 18 $) et le tarif « étranger non résident » est systématiquement le double du tarif brésilien.</t>
        </is>
      </c>
    </row>
    <row r="21" ht="30" customHeight="1">
      <c r="A21" s="15" t="inlineStr">
        <is>
          <t>•</t>
        </is>
      </c>
      <c r="B21" s="44" t="inlineStr">
        <is>
          <t>Les 7 grands trajets en bus (204–304 $ au total) s'ajoutent à ces moyennes.</t>
        </is>
      </c>
    </row>
    <row r="23">
      <c r="A23" s="42" t="inlineStr">
        <is>
          <t>OÙ ÉCONOMISER VRAIMENT</t>
        </is>
      </c>
      <c r="B23" s="43" t="n"/>
    </row>
    <row r="24" ht="30" customHeight="1">
      <c r="A24" s="15" t="inlineStr">
        <is>
          <t>•</t>
        </is>
      </c>
      <c r="B24" s="44" t="inlineStr">
        <is>
          <t>−85 $ : remplacer la Route de la Mort en VTT par le Valle de la Luna + Valle de las Ánimas.</t>
        </is>
      </c>
    </row>
    <row r="25" ht="30" customHeight="1">
      <c r="A25" s="15" t="inlineStr">
        <is>
          <t>•</t>
        </is>
      </c>
      <c r="B25" s="44" t="inlineStr">
        <is>
          <t>−45 $ : acheter le billet Santa Cruz → Asunción au guichet du terminal plutôt qu'en ligne.</t>
        </is>
      </c>
    </row>
    <row r="26" ht="30" customHeight="1">
      <c r="A26" s="15" t="inlineStr">
        <is>
          <t>•</t>
        </is>
      </c>
      <c r="B26" s="44" t="inlineStr">
        <is>
          <t>−30 $ : bus publics boliviens plutôt que bus touristiques porte-à-porte.</t>
        </is>
      </c>
    </row>
    <row r="27" ht="30" customHeight="1">
      <c r="A27" s="15" t="inlineStr">
        <is>
          <t>•</t>
        </is>
      </c>
      <c r="B27" s="44" t="inlineStr">
        <is>
          <t>−25 $ : viser le mardi pour le MASP, le samedi pour la Pinacoteca et le Museu Afro Brasil, le vendredi ou samedi pour le Museo del Barro — gratuits ces jours-là.</t>
        </is>
      </c>
    </row>
    <row r="28" ht="30" customHeight="1">
      <c r="A28" s="15" t="inlineStr">
        <is>
          <t>•</t>
        </is>
      </c>
      <c r="B28" s="44" t="inlineStr">
        <is>
          <t>−20 $ : monter au Christ par la van depuis Paineiras (R$ 87) au lieu de Largo do Machado (R$ 132).</t>
        </is>
      </c>
    </row>
    <row r="29" ht="30" customHeight="1">
      <c r="A29" s="15" t="inlineStr">
        <is>
          <t>•</t>
        </is>
      </c>
      <c r="B29" s="44" t="inlineStr">
        <is>
          <t>5 nuits déjà économisées par les bus de nuit (J1, J7, J8, J12, J14), soit environ 70 $ de logement en moins.</t>
        </is>
      </c>
    </row>
    <row r="31">
      <c r="A31" s="42" t="inlineStr">
        <is>
          <t>FIABILITÉ DES PRIX</t>
        </is>
      </c>
      <c r="B31" s="43" t="n"/>
    </row>
    <row r="32" ht="30" customHeight="1">
      <c r="A32" s="15" t="inlineStr">
        <is>
          <t>•</t>
        </is>
      </c>
      <c r="B32" s="44" t="inlineStr">
        <is>
          <t>Vérifiés en ligne le 11/09/2026 : les 4 taux de change, le tarif ATT officiel La Paz → Santa Cruz (Bs 232–319), les billets du Christ Rédempteur (R$ 87 / 132 / 134), du Pain de Sucre (R$ 160 / 205), du Jardin botanique (R$ 80 étranger), du Maracanã (R$ 94), du MASP (R$ 80 / 100), les métros de São Paulo (R$ 5,40) et de Rio (R$ 7,90), le Museo del Barro (Gs 50 000), les bateaux et tickets communautaires de l'Isla del Sol, les horaires et durées des 7 bus, et la règle paraguayenne sur la fièvre jaune.</t>
        </is>
      </c>
    </row>
    <row r="33" ht="30" customHeight="1">
      <c r="A33" s="15" t="inlineStr">
        <is>
          <t>•</t>
        </is>
      </c>
      <c r="B33" s="44" t="inlineStr">
        <is>
          <t>Fourchettes de marché, à confirmer sur place : auberges, repas, taxis et courses Bolt/Uber, prix des bus internationaux au guichet (20 à 40 % d'écart selon la compagnie, la classe et la saison), et le tour de la Route de la Mort.</t>
        </is>
      </c>
    </row>
    <row r="34" ht="30" customHeight="1">
      <c r="A34" s="15" t="inlineStr">
        <is>
          <t>•</t>
        </is>
      </c>
      <c r="B34" s="44" t="inlineStr">
        <is>
          <t>À réserver à l'avance : Lima → Puno (3 à 7 jours), Santa Cruz → Asunción (dès votre arrivée à Santa Cruz), Christ Rédempteur et Pain de Sucre (la veille), auberge de Rio (les week-ends partent vite).</t>
        </is>
      </c>
    </row>
    <row r="36">
      <c r="A36" s="42" t="inlineStr">
        <is>
          <t>DÉCALAGES HORAIRES</t>
        </is>
      </c>
      <c r="B36" s="43" t="n"/>
    </row>
    <row r="37" ht="30" customHeight="1">
      <c r="A37" s="15" t="inlineStr">
        <is>
          <t>•</t>
        </is>
      </c>
      <c r="B37" s="44" t="inlineStr">
        <is>
          <t>Pérou UTC−5 → Bolivie UTC−4 : +1 h au J3 (frontière de Kasani).</t>
        </is>
      </c>
    </row>
    <row r="38" ht="30" customHeight="1">
      <c r="A38" s="15" t="inlineStr">
        <is>
          <t>•</t>
        </is>
      </c>
      <c r="B38" s="44" t="inlineStr">
        <is>
          <t>Bolivie UTC−4 → Paraguay UTC−3 : +1 h au J9 (frontière du Chaco).</t>
        </is>
      </c>
    </row>
    <row r="39" ht="30" customHeight="1">
      <c r="A39" s="15" t="inlineStr">
        <is>
          <t>•</t>
        </is>
      </c>
      <c r="B39" s="44" t="inlineStr">
        <is>
          <t>Paraguay UTC−3 → Brésil / São Paulo UTC−3 : aucun changement au J12.</t>
        </is>
      </c>
    </row>
    <row r="40" ht="30" customHeight="1">
      <c r="A40" s="15" t="inlineStr">
        <is>
          <t>•</t>
        </is>
      </c>
      <c r="B40" s="44" t="inlineStr">
        <is>
          <t>Vous perdez 2 h au total. Les horaires de bus sont toujours donnés en heure locale de départ.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2026-09-11T13:09:25Z</dcterms:created>
  <dcterms:modified xsi:type="dcterms:W3CDTF">2026-09-11T13:09:26Z</dcterms:modified>
</cp:coreProperties>
</file>